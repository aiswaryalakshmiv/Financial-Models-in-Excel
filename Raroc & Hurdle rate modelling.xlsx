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7fabfc857bf06b/Desktop/FRM/Projects/"/>
    </mc:Choice>
  </mc:AlternateContent>
  <xr:revisionPtr revIDLastSave="287" documentId="8_{7C031DAE-D7BD-4501-BBDC-04207F423434}" xr6:coauthVersionLast="47" xr6:coauthVersionMax="47" xr10:uidLastSave="{0ABE5D92-F217-429E-A155-CA24BA3AB6ED}"/>
  <bookViews>
    <workbookView xWindow="-108" yWindow="-108" windowWidth="23256" windowHeight="12456" activeTab="2" xr2:uid="{C3BF02C8-917C-451C-9EC5-3F8EAB8F37CE}"/>
  </bookViews>
  <sheets>
    <sheet name="1. Portfolio Detail" sheetId="5" r:id="rId1"/>
    <sheet name="2. Working sheet" sheetId="1" r:id="rId2"/>
    <sheet name="3. Decision Maker" sheetId="3" r:id="rId3"/>
  </sheets>
  <definedNames>
    <definedName name="_xlnm._FilterDatabase" localSheetId="1" hidden="1">'2. Working sheet'!$A$9:$J$109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3" l="1"/>
  <c r="B19" i="3"/>
  <c r="B18" i="3"/>
  <c r="B15" i="3"/>
  <c r="B9" i="3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0" i="1"/>
  <c r="B11" i="1"/>
  <c r="C11" i="1"/>
  <c r="D11" i="1"/>
  <c r="B12" i="1"/>
  <c r="C12" i="1"/>
  <c r="D12" i="1"/>
  <c r="B13" i="1"/>
  <c r="C13" i="1"/>
  <c r="D13" i="1"/>
  <c r="B14" i="1"/>
  <c r="C14" i="1"/>
  <c r="D14" i="1"/>
  <c r="B15" i="1"/>
  <c r="C15" i="1"/>
  <c r="D15" i="1"/>
  <c r="B16" i="1"/>
  <c r="C16" i="1"/>
  <c r="D16" i="1"/>
  <c r="B17" i="1"/>
  <c r="C17" i="1"/>
  <c r="D17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D37" i="1"/>
  <c r="B38" i="1"/>
  <c r="C38" i="1"/>
  <c r="D38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B44" i="1"/>
  <c r="C44" i="1"/>
  <c r="D44" i="1"/>
  <c r="B45" i="1"/>
  <c r="C45" i="1"/>
  <c r="D45" i="1"/>
  <c r="B46" i="1"/>
  <c r="C46" i="1"/>
  <c r="D46" i="1"/>
  <c r="B47" i="1"/>
  <c r="C47" i="1"/>
  <c r="D47" i="1"/>
  <c r="B48" i="1"/>
  <c r="C48" i="1"/>
  <c r="D48" i="1"/>
  <c r="B49" i="1"/>
  <c r="C49" i="1"/>
  <c r="D49" i="1"/>
  <c r="B50" i="1"/>
  <c r="C50" i="1"/>
  <c r="D50" i="1"/>
  <c r="B51" i="1"/>
  <c r="C51" i="1"/>
  <c r="D51" i="1"/>
  <c r="B52" i="1"/>
  <c r="C52" i="1"/>
  <c r="D52" i="1"/>
  <c r="B53" i="1"/>
  <c r="C53" i="1"/>
  <c r="D53" i="1"/>
  <c r="B54" i="1"/>
  <c r="C54" i="1"/>
  <c r="D54" i="1"/>
  <c r="B55" i="1"/>
  <c r="C55" i="1"/>
  <c r="D55" i="1"/>
  <c r="B56" i="1"/>
  <c r="C56" i="1"/>
  <c r="D56" i="1"/>
  <c r="B57" i="1"/>
  <c r="C57" i="1"/>
  <c r="D57" i="1"/>
  <c r="B58" i="1"/>
  <c r="C58" i="1"/>
  <c r="D58" i="1"/>
  <c r="B59" i="1"/>
  <c r="C59" i="1"/>
  <c r="D59" i="1"/>
  <c r="B60" i="1"/>
  <c r="C60" i="1"/>
  <c r="D60" i="1"/>
  <c r="B61" i="1"/>
  <c r="C61" i="1"/>
  <c r="D61" i="1"/>
  <c r="B62" i="1"/>
  <c r="C62" i="1"/>
  <c r="D62" i="1"/>
  <c r="B63" i="1"/>
  <c r="C63" i="1"/>
  <c r="D63" i="1"/>
  <c r="B64" i="1"/>
  <c r="C64" i="1"/>
  <c r="D64" i="1"/>
  <c r="B65" i="1"/>
  <c r="C65" i="1"/>
  <c r="D65" i="1"/>
  <c r="B66" i="1"/>
  <c r="C66" i="1"/>
  <c r="D66" i="1"/>
  <c r="B67" i="1"/>
  <c r="C67" i="1"/>
  <c r="D67" i="1"/>
  <c r="B68" i="1"/>
  <c r="C68" i="1"/>
  <c r="D68" i="1"/>
  <c r="B69" i="1"/>
  <c r="C69" i="1"/>
  <c r="D69" i="1"/>
  <c r="B70" i="1"/>
  <c r="C70" i="1"/>
  <c r="D70" i="1"/>
  <c r="B71" i="1"/>
  <c r="C71" i="1"/>
  <c r="D71" i="1"/>
  <c r="B72" i="1"/>
  <c r="C72" i="1"/>
  <c r="D72" i="1"/>
  <c r="B73" i="1"/>
  <c r="C73" i="1"/>
  <c r="D73" i="1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B84" i="1"/>
  <c r="C84" i="1"/>
  <c r="D84" i="1"/>
  <c r="B85" i="1"/>
  <c r="C85" i="1"/>
  <c r="D85" i="1"/>
  <c r="B86" i="1"/>
  <c r="C86" i="1"/>
  <c r="D86" i="1"/>
  <c r="B87" i="1"/>
  <c r="C87" i="1"/>
  <c r="D87" i="1"/>
  <c r="B88" i="1"/>
  <c r="C88" i="1"/>
  <c r="D88" i="1"/>
  <c r="B89" i="1"/>
  <c r="C89" i="1"/>
  <c r="D89" i="1"/>
  <c r="B90" i="1"/>
  <c r="C90" i="1"/>
  <c r="D90" i="1"/>
  <c r="B91" i="1"/>
  <c r="C91" i="1"/>
  <c r="D91" i="1"/>
  <c r="B92" i="1"/>
  <c r="C92" i="1"/>
  <c r="D92" i="1"/>
  <c r="B93" i="1"/>
  <c r="C93" i="1"/>
  <c r="D93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108" i="1"/>
  <c r="C108" i="1"/>
  <c r="D108" i="1"/>
  <c r="B109" i="1"/>
  <c r="C109" i="1"/>
  <c r="D109" i="1"/>
  <c r="D10" i="1"/>
  <c r="C10" i="1"/>
  <c r="B10" i="1"/>
  <c r="D5" i="1" l="1"/>
  <c r="C5" i="1"/>
  <c r="G93" i="1" s="1"/>
  <c r="D4" i="1"/>
  <c r="C4" i="1"/>
  <c r="D3" i="1"/>
  <c r="C3" i="1"/>
  <c r="D3" i="3"/>
  <c r="D4" i="3"/>
  <c r="B5" i="3"/>
  <c r="B8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B3" i="1" l="1"/>
  <c r="D5" i="3"/>
  <c r="D6" i="3" s="1"/>
  <c r="J8" i="1"/>
  <c r="E8" i="1"/>
  <c r="B16" i="3" s="1"/>
  <c r="H93" i="1"/>
  <c r="G14" i="1"/>
  <c r="H14" i="1" s="1"/>
  <c r="G19" i="1"/>
  <c r="H19" i="1" s="1"/>
  <c r="G84" i="1"/>
  <c r="H84" i="1" s="1"/>
  <c r="G68" i="1"/>
  <c r="H68" i="1" s="1"/>
  <c r="G53" i="1"/>
  <c r="H53" i="1" s="1"/>
  <c r="G22" i="1"/>
  <c r="H22" i="1" s="1"/>
  <c r="G38" i="1"/>
  <c r="H38" i="1" s="1"/>
  <c r="G54" i="1"/>
  <c r="H54" i="1" s="1"/>
  <c r="G70" i="1"/>
  <c r="H70" i="1" s="1"/>
  <c r="G92" i="1"/>
  <c r="H92" i="1" s="1"/>
  <c r="G101" i="1"/>
  <c r="H101" i="1" s="1"/>
  <c r="G37" i="1"/>
  <c r="H37" i="1" s="1"/>
  <c r="G91" i="1"/>
  <c r="H91" i="1" s="1"/>
  <c r="G11" i="1"/>
  <c r="H11" i="1" s="1"/>
  <c r="G27" i="1"/>
  <c r="H27" i="1" s="1"/>
  <c r="G43" i="1"/>
  <c r="H43" i="1" s="1"/>
  <c r="G59" i="1"/>
  <c r="H59" i="1" s="1"/>
  <c r="G75" i="1"/>
  <c r="H75" i="1" s="1"/>
  <c r="G106" i="1"/>
  <c r="H106" i="1" s="1"/>
  <c r="G98" i="1"/>
  <c r="H98" i="1" s="1"/>
  <c r="G90" i="1"/>
  <c r="H90" i="1" s="1"/>
  <c r="G82" i="1"/>
  <c r="H82" i="1" s="1"/>
  <c r="G74" i="1"/>
  <c r="H74" i="1" s="1"/>
  <c r="G66" i="1"/>
  <c r="H66" i="1" s="1"/>
  <c r="G58" i="1"/>
  <c r="H58" i="1" s="1"/>
  <c r="G50" i="1"/>
  <c r="H50" i="1" s="1"/>
  <c r="G42" i="1"/>
  <c r="H42" i="1" s="1"/>
  <c r="G34" i="1"/>
  <c r="H34" i="1" s="1"/>
  <c r="G26" i="1"/>
  <c r="H26" i="1" s="1"/>
  <c r="G18" i="1"/>
  <c r="H18" i="1" s="1"/>
  <c r="G10" i="1"/>
  <c r="H10" i="1" s="1"/>
  <c r="G87" i="1"/>
  <c r="H87" i="1" s="1"/>
  <c r="G71" i="1"/>
  <c r="H71" i="1" s="1"/>
  <c r="G63" i="1"/>
  <c r="H63" i="1" s="1"/>
  <c r="G55" i="1"/>
  <c r="H55" i="1" s="1"/>
  <c r="G47" i="1"/>
  <c r="H47" i="1" s="1"/>
  <c r="G39" i="1"/>
  <c r="H39" i="1" s="1"/>
  <c r="G31" i="1"/>
  <c r="H31" i="1" s="1"/>
  <c r="G23" i="1"/>
  <c r="H23" i="1" s="1"/>
  <c r="G15" i="1"/>
  <c r="H15" i="1" s="1"/>
  <c r="G102" i="1"/>
  <c r="H102" i="1" s="1"/>
  <c r="G94" i="1"/>
  <c r="H94" i="1" s="1"/>
  <c r="G86" i="1"/>
  <c r="H86" i="1" s="1"/>
  <c r="G78" i="1"/>
  <c r="H78" i="1" s="1"/>
  <c r="G105" i="1"/>
  <c r="H105" i="1" s="1"/>
  <c r="G97" i="1"/>
  <c r="H97" i="1" s="1"/>
  <c r="G89" i="1"/>
  <c r="H89" i="1" s="1"/>
  <c r="G81" i="1"/>
  <c r="H81" i="1" s="1"/>
  <c r="G73" i="1"/>
  <c r="H73" i="1" s="1"/>
  <c r="G65" i="1"/>
  <c r="H65" i="1" s="1"/>
  <c r="G57" i="1"/>
  <c r="H57" i="1" s="1"/>
  <c r="G49" i="1"/>
  <c r="H49" i="1" s="1"/>
  <c r="G41" i="1"/>
  <c r="H41" i="1" s="1"/>
  <c r="G33" i="1"/>
  <c r="H33" i="1" s="1"/>
  <c r="G25" i="1"/>
  <c r="H25" i="1" s="1"/>
  <c r="G17" i="1"/>
  <c r="H17" i="1" s="1"/>
  <c r="G104" i="1"/>
  <c r="H104" i="1" s="1"/>
  <c r="G96" i="1"/>
  <c r="H96" i="1" s="1"/>
  <c r="G88" i="1"/>
  <c r="H88" i="1" s="1"/>
  <c r="G80" i="1"/>
  <c r="H80" i="1" s="1"/>
  <c r="G72" i="1"/>
  <c r="H72" i="1" s="1"/>
  <c r="G64" i="1"/>
  <c r="H64" i="1" s="1"/>
  <c r="G56" i="1"/>
  <c r="H56" i="1" s="1"/>
  <c r="G48" i="1"/>
  <c r="H48" i="1" s="1"/>
  <c r="G40" i="1"/>
  <c r="H40" i="1" s="1"/>
  <c r="G32" i="1"/>
  <c r="H32" i="1" s="1"/>
  <c r="G24" i="1"/>
  <c r="H24" i="1" s="1"/>
  <c r="G16" i="1"/>
  <c r="H16" i="1" s="1"/>
  <c r="G103" i="1"/>
  <c r="H103" i="1" s="1"/>
  <c r="G95" i="1"/>
  <c r="H95" i="1" s="1"/>
  <c r="G79" i="1"/>
  <c r="H79" i="1" s="1"/>
  <c r="G62" i="1"/>
  <c r="H62" i="1" s="1"/>
  <c r="G35" i="1"/>
  <c r="H35" i="1" s="1"/>
  <c r="G51" i="1"/>
  <c r="H51" i="1" s="1"/>
  <c r="G67" i="1"/>
  <c r="H67" i="1" s="1"/>
  <c r="G107" i="1"/>
  <c r="H107" i="1" s="1"/>
  <c r="G20" i="1"/>
  <c r="H20" i="1" s="1"/>
  <c r="G36" i="1"/>
  <c r="H36" i="1" s="1"/>
  <c r="G85" i="1"/>
  <c r="H85" i="1" s="1"/>
  <c r="G108" i="1"/>
  <c r="H108" i="1" s="1"/>
  <c r="G21" i="1"/>
  <c r="H21" i="1" s="1"/>
  <c r="G69" i="1"/>
  <c r="H69" i="1" s="1"/>
  <c r="G109" i="1"/>
  <c r="H109" i="1" s="1"/>
  <c r="G12" i="1"/>
  <c r="H12" i="1" s="1"/>
  <c r="G28" i="1"/>
  <c r="H28" i="1" s="1"/>
  <c r="G44" i="1"/>
  <c r="H44" i="1" s="1"/>
  <c r="G60" i="1"/>
  <c r="H60" i="1" s="1"/>
  <c r="G76" i="1"/>
  <c r="H76" i="1" s="1"/>
  <c r="G99" i="1"/>
  <c r="H99" i="1" s="1"/>
  <c r="G30" i="1"/>
  <c r="H30" i="1" s="1"/>
  <c r="G46" i="1"/>
  <c r="H46" i="1" s="1"/>
  <c r="G83" i="1"/>
  <c r="H83" i="1" s="1"/>
  <c r="G52" i="1"/>
  <c r="H52" i="1" s="1"/>
  <c r="G13" i="1"/>
  <c r="H13" i="1" s="1"/>
  <c r="G29" i="1"/>
  <c r="H29" i="1" s="1"/>
  <c r="G45" i="1"/>
  <c r="H45" i="1" s="1"/>
  <c r="G61" i="1"/>
  <c r="H61" i="1" s="1"/>
  <c r="G77" i="1"/>
  <c r="H77" i="1" s="1"/>
  <c r="G100" i="1"/>
  <c r="H100" i="1" s="1"/>
  <c r="B14" i="3" l="1"/>
  <c r="B17" i="3" s="1"/>
  <c r="H8" i="1"/>
  <c r="B10" i="3" s="1"/>
  <c r="B20" i="3" s="1"/>
  <c r="B26" i="3" l="1"/>
  <c r="B27" i="3" s="1"/>
  <c r="B25" i="3"/>
</calcChain>
</file>

<file path=xl/sharedStrings.xml><?xml version="1.0" encoding="utf-8"?>
<sst xmlns="http://schemas.openxmlformats.org/spreadsheetml/2006/main" count="52" uniqueCount="48">
  <si>
    <t>Sl No:</t>
  </si>
  <si>
    <t>EAD</t>
  </si>
  <si>
    <t>PD</t>
  </si>
  <si>
    <t>LGD</t>
  </si>
  <si>
    <t>Summary</t>
  </si>
  <si>
    <t>Variance PD</t>
  </si>
  <si>
    <t>Variance LGD</t>
  </si>
  <si>
    <t>Porfolio Income</t>
  </si>
  <si>
    <t>Equity Capital</t>
  </si>
  <si>
    <t>Preferencial Capital</t>
  </si>
  <si>
    <t>Cost of Capital (%)</t>
  </si>
  <si>
    <t>Amount ($mn)</t>
  </si>
  <si>
    <t>Cost of Capital ($mn)</t>
  </si>
  <si>
    <t>Less: Cost of Loan Funding @9%</t>
  </si>
  <si>
    <t>Less: Expected Loss</t>
  </si>
  <si>
    <t>RAROC</t>
  </si>
  <si>
    <t>Economic Capital</t>
  </si>
  <si>
    <t>Total</t>
  </si>
  <si>
    <t>Project to be approved?</t>
  </si>
  <si>
    <t>VAR (set at bank level)</t>
  </si>
  <si>
    <t>Capital Multiplier</t>
  </si>
  <si>
    <t>RAROC &gt; Hurdle Rate?</t>
  </si>
  <si>
    <t>Hurdle Rate Computation</t>
  </si>
  <si>
    <t>RAROC Computation</t>
  </si>
  <si>
    <t>Decision Maker</t>
  </si>
  <si>
    <t>RAROC-Hurdle Rate</t>
  </si>
  <si>
    <t>-</t>
  </si>
  <si>
    <r>
      <t>Mean (</t>
    </r>
    <r>
      <rPr>
        <b/>
        <sz val="11"/>
        <color theme="1"/>
        <rFont val="Calibri"/>
        <family val="2"/>
      </rPr>
      <t>µ)</t>
    </r>
  </si>
  <si>
    <r>
      <t>Std Dev (</t>
    </r>
    <r>
      <rPr>
        <b/>
        <sz val="11"/>
        <color theme="1"/>
        <rFont val="Calibri"/>
        <family val="2"/>
      </rPr>
      <t>σ)</t>
    </r>
  </si>
  <si>
    <t>Sr. no.</t>
  </si>
  <si>
    <t>Interest Rate</t>
  </si>
  <si>
    <t>Total Value</t>
  </si>
  <si>
    <t>UL</t>
  </si>
  <si>
    <t>EL</t>
  </si>
  <si>
    <t xml:space="preserve">EAD ($mn) </t>
  </si>
  <si>
    <t xml:space="preserve">PD </t>
  </si>
  <si>
    <t xml:space="preserve">LGD </t>
  </si>
  <si>
    <t>Int %</t>
  </si>
  <si>
    <t>Int Inc($mn)</t>
  </si>
  <si>
    <t>Economic Capital Computation</t>
  </si>
  <si>
    <t xml:space="preserve">Economic Capital (ULp*CM) </t>
  </si>
  <si>
    <t>Expected Loss (EL) = EAD x PD x LGD</t>
  </si>
  <si>
    <t>Interest Income = EAD x Interest %</t>
  </si>
  <si>
    <t>Formulas</t>
  </si>
  <si>
    <t>Risk Adjusted Return before tax</t>
  </si>
  <si>
    <t>Risk Adjusted Return after tax</t>
  </si>
  <si>
    <t>Less: Tax @ 30%</t>
  </si>
  <si>
    <t xml:space="preserve"> Unexpected Loss (UL) = EAD*(SQRT((PD*Variance LGD)+((LGD^2)*Variance PD)))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</si>
</sst>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u val="double"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9" fontId="0" fillId="0" borderId="0" xfId="2" applyFont="1"/>
    <xf numFmtId="43" fontId="0" fillId="0" borderId="0" xfId="1" applyFont="1"/>
    <xf numFmtId="0" fontId="2" fillId="0" borderId="0" xfId="0" applyFont="1"/>
    <xf numFmtId="10" fontId="0" fillId="0" borderId="0" xfId="0" applyNumberFormat="1"/>
    <xf numFmtId="9" fontId="0" fillId="0" borderId="0" xfId="0" applyNumberFormat="1"/>
    <xf numFmtId="43" fontId="0" fillId="0" borderId="0" xfId="0" applyNumberFormat="1"/>
    <xf numFmtId="0" fontId="0" fillId="0" borderId="1" xfId="0" applyBorder="1"/>
    <xf numFmtId="43" fontId="3" fillId="0" borderId="0" xfId="1" applyFont="1"/>
    <xf numFmtId="0" fontId="3" fillId="0" borderId="0" xfId="0" applyFont="1"/>
    <xf numFmtId="0" fontId="6" fillId="0" borderId="0" xfId="0" applyFont="1"/>
    <xf numFmtId="0" fontId="0" fillId="0" borderId="4" xfId="0" applyBorder="1"/>
    <xf numFmtId="0" fontId="3" fillId="0" borderId="4" xfId="0" applyFont="1" applyBorder="1"/>
    <xf numFmtId="43" fontId="0" fillId="0" borderId="4" xfId="0" applyNumberFormat="1" applyBorder="1"/>
    <xf numFmtId="43" fontId="0" fillId="0" borderId="4" xfId="1" applyFont="1" applyBorder="1"/>
    <xf numFmtId="0" fontId="0" fillId="0" borderId="4" xfId="0" applyBorder="1" applyAlignment="1">
      <alignment horizontal="center"/>
    </xf>
    <xf numFmtId="10" fontId="0" fillId="0" borderId="4" xfId="0" applyNumberFormat="1" applyBorder="1"/>
    <xf numFmtId="10" fontId="0" fillId="0" borderId="4" xfId="2" applyNumberFormat="1" applyFont="1" applyBorder="1"/>
    <xf numFmtId="9" fontId="0" fillId="0" borderId="4" xfId="0" applyNumberFormat="1" applyBorder="1"/>
    <xf numFmtId="43" fontId="3" fillId="0" borderId="4" xfId="1" applyFont="1" applyBorder="1"/>
    <xf numFmtId="0" fontId="5" fillId="0" borderId="5" xfId="0" applyFont="1" applyBorder="1"/>
    <xf numFmtId="0" fontId="5" fillId="0" borderId="2" xfId="0" applyFont="1" applyBorder="1"/>
    <xf numFmtId="0" fontId="5" fillId="0" borderId="3" xfId="0" applyFont="1" applyBorder="1"/>
    <xf numFmtId="9" fontId="5" fillId="0" borderId="5" xfId="2" applyFont="1" applyFill="1" applyBorder="1"/>
    <xf numFmtId="9" fontId="5" fillId="0" borderId="2" xfId="2" applyFont="1" applyFill="1" applyBorder="1"/>
    <xf numFmtId="9" fontId="5" fillId="0" borderId="3" xfId="2" applyFont="1" applyFill="1" applyBorder="1"/>
    <xf numFmtId="10" fontId="0" fillId="0" borderId="5" xfId="1" applyNumberFormat="1" applyFont="1" applyBorder="1"/>
    <xf numFmtId="10" fontId="0" fillId="0" borderId="2" xfId="1" applyNumberFormat="1" applyFont="1" applyBorder="1"/>
    <xf numFmtId="10" fontId="0" fillId="0" borderId="3" xfId="1" applyNumberFormat="1" applyFont="1" applyBorder="1"/>
    <xf numFmtId="43" fontId="0" fillId="0" borderId="5" xfId="1" applyFont="1" applyBorder="1"/>
    <xf numFmtId="43" fontId="0" fillId="0" borderId="2" xfId="1" applyFont="1" applyBorder="1"/>
    <xf numFmtId="43" fontId="0" fillId="0" borderId="3" xfId="1" applyFont="1" applyBorder="1"/>
    <xf numFmtId="10" fontId="5" fillId="0" borderId="6" xfId="2" applyNumberFormat="1" applyFont="1" applyFill="1" applyBorder="1"/>
    <xf numFmtId="43" fontId="0" fillId="0" borderId="6" xfId="1" applyFont="1" applyBorder="1"/>
    <xf numFmtId="10" fontId="0" fillId="0" borderId="6" xfId="1" applyNumberFormat="1" applyFont="1" applyBorder="1"/>
    <xf numFmtId="10" fontId="5" fillId="0" borderId="6" xfId="2" applyNumberFormat="1" applyFont="1" applyBorder="1"/>
    <xf numFmtId="10" fontId="5" fillId="0" borderId="0" xfId="2" applyNumberFormat="1" applyFont="1" applyFill="1" applyBorder="1"/>
    <xf numFmtId="43" fontId="0" fillId="0" borderId="0" xfId="1" applyFont="1" applyBorder="1"/>
    <xf numFmtId="10" fontId="0" fillId="0" borderId="0" xfId="1" applyNumberFormat="1" applyFont="1" applyBorder="1"/>
    <xf numFmtId="10" fontId="5" fillId="0" borderId="0" xfId="2" applyNumberFormat="1" applyFont="1" applyBorder="1"/>
    <xf numFmtId="10" fontId="5" fillId="0" borderId="7" xfId="2" applyNumberFormat="1" applyFont="1" applyFill="1" applyBorder="1"/>
    <xf numFmtId="43" fontId="0" fillId="0" borderId="7" xfId="1" applyFont="1" applyBorder="1"/>
    <xf numFmtId="10" fontId="0" fillId="0" borderId="7" xfId="1" applyNumberFormat="1" applyFont="1" applyBorder="1"/>
    <xf numFmtId="10" fontId="5" fillId="0" borderId="7" xfId="2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44" fontId="5" fillId="0" borderId="5" xfId="2" applyNumberFormat="1" applyFont="1" applyFill="1" applyBorder="1"/>
    <xf numFmtId="44" fontId="5" fillId="0" borderId="2" xfId="2" applyNumberFormat="1" applyFont="1" applyFill="1" applyBorder="1"/>
    <xf numFmtId="44" fontId="5" fillId="0" borderId="3" xfId="2" applyNumberFormat="1" applyFont="1" applyFill="1" applyBorder="1"/>
    <xf numFmtId="43" fontId="0" fillId="0" borderId="7" xfId="0" applyNumberFormat="1" applyBorder="1"/>
    <xf numFmtId="9" fontId="0" fillId="0" borderId="1" xfId="2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1723A-CBE6-4317-9304-5D3992232B20}">
  <dimension ref="A1:F101"/>
  <sheetViews>
    <sheetView showGridLines="0" workbookViewId="0">
      <selection activeCell="D6" sqref="D6"/>
    </sheetView>
  </sheetViews>
  <sheetFormatPr defaultRowHeight="14.4" x14ac:dyDescent="0.3"/>
  <cols>
    <col min="5" max="5" width="11.6640625" bestFit="1" customWidth="1"/>
  </cols>
  <sheetData>
    <row r="1" spans="1:6" x14ac:dyDescent="0.3">
      <c r="A1" s="44" t="s">
        <v>29</v>
      </c>
      <c r="B1" s="45" t="s">
        <v>1</v>
      </c>
      <c r="C1" s="46" t="s">
        <v>2</v>
      </c>
      <c r="D1" s="47" t="s">
        <v>3</v>
      </c>
      <c r="E1" s="46" t="s">
        <v>30</v>
      </c>
    </row>
    <row r="2" spans="1:6" x14ac:dyDescent="0.3">
      <c r="A2" s="48">
        <v>1</v>
      </c>
      <c r="B2" s="49">
        <v>2.1113429466439317</v>
      </c>
      <c r="C2" s="50">
        <v>5.6981572052238846E-2</v>
      </c>
      <c r="D2" s="51">
        <v>0.35169592564001417</v>
      </c>
      <c r="E2" s="50">
        <v>0.11575387118681511</v>
      </c>
      <c r="F2" s="2"/>
    </row>
    <row r="3" spans="1:6" x14ac:dyDescent="0.3">
      <c r="A3" s="52">
        <v>2</v>
      </c>
      <c r="B3" s="50">
        <v>5.2990654697138799</v>
      </c>
      <c r="C3" s="50">
        <v>4.8475992244990246E-2</v>
      </c>
      <c r="D3" s="53">
        <v>0.33903870304024408</v>
      </c>
      <c r="E3" s="50">
        <v>0.11992567153837734</v>
      </c>
      <c r="F3" s="2"/>
    </row>
    <row r="4" spans="1:6" x14ac:dyDescent="0.3">
      <c r="A4" s="52">
        <v>3</v>
      </c>
      <c r="B4" s="50">
        <v>7.6585824444947148</v>
      </c>
      <c r="C4" s="50">
        <v>2.0339054746107373E-2</v>
      </c>
      <c r="D4" s="53">
        <v>0.69064927587385094</v>
      </c>
      <c r="E4" s="50">
        <v>0.1258996155975704</v>
      </c>
      <c r="F4" s="2"/>
    </row>
    <row r="5" spans="1:6" x14ac:dyDescent="0.3">
      <c r="A5" s="52">
        <v>4</v>
      </c>
      <c r="B5" s="50">
        <v>10.038626011511203</v>
      </c>
      <c r="C5" s="50">
        <v>3.9190503311987583E-2</v>
      </c>
      <c r="D5" s="53">
        <v>0.24844378273133538</v>
      </c>
      <c r="E5" s="50">
        <v>0.12382280882056158</v>
      </c>
      <c r="F5" s="2"/>
    </row>
    <row r="6" spans="1:6" x14ac:dyDescent="0.3">
      <c r="A6" s="52">
        <v>5</v>
      </c>
      <c r="B6" s="50">
        <v>3.3824982370826788</v>
      </c>
      <c r="C6" s="50">
        <v>4.9807073686785178E-2</v>
      </c>
      <c r="D6" s="53">
        <v>0.47692779861809298</v>
      </c>
      <c r="E6" s="50">
        <v>0.10149116017134595</v>
      </c>
      <c r="F6" s="2"/>
    </row>
    <row r="7" spans="1:6" x14ac:dyDescent="0.3">
      <c r="A7" s="52">
        <v>6</v>
      </c>
      <c r="B7" s="50">
        <v>3.4972013890719724</v>
      </c>
      <c r="C7" s="50">
        <v>1.1442720759738789E-2</v>
      </c>
      <c r="D7" s="53">
        <v>0.36116161253290635</v>
      </c>
      <c r="E7" s="50">
        <v>0.13136829682509321</v>
      </c>
      <c r="F7" s="2"/>
    </row>
    <row r="8" spans="1:6" x14ac:dyDescent="0.3">
      <c r="A8" s="52">
        <v>7</v>
      </c>
      <c r="B8" s="50">
        <v>5.846290427679639</v>
      </c>
      <c r="C8" s="50">
        <v>1.5967169097475607E-2</v>
      </c>
      <c r="D8" s="53">
        <v>0.26492403810112031</v>
      </c>
      <c r="E8" s="50">
        <v>0.11144430099995281</v>
      </c>
      <c r="F8" s="2"/>
    </row>
    <row r="9" spans="1:6" x14ac:dyDescent="0.3">
      <c r="A9" s="52">
        <v>8</v>
      </c>
      <c r="B9" s="50">
        <v>7.9710898417598175</v>
      </c>
      <c r="C9" s="50">
        <v>4.3499080806023334E-2</v>
      </c>
      <c r="D9" s="53">
        <v>0.24926484699453844</v>
      </c>
      <c r="E9" s="50">
        <v>0.10761221472943579</v>
      </c>
      <c r="F9" s="2"/>
    </row>
    <row r="10" spans="1:6" x14ac:dyDescent="0.3">
      <c r="A10" s="52">
        <v>9</v>
      </c>
      <c r="B10" s="50">
        <v>8.1065641175803922</v>
      </c>
      <c r="C10" s="50">
        <v>1.0114371015928644E-2</v>
      </c>
      <c r="D10" s="53">
        <v>0.21409737444550792</v>
      </c>
      <c r="E10" s="50">
        <v>0.13082756582216057</v>
      </c>
      <c r="F10" s="2"/>
    </row>
    <row r="11" spans="1:6" x14ac:dyDescent="0.3">
      <c r="A11" s="52">
        <v>10</v>
      </c>
      <c r="B11" s="50">
        <v>6.7961997466100836</v>
      </c>
      <c r="C11" s="50">
        <v>3.9033389150312611E-2</v>
      </c>
      <c r="D11" s="53">
        <v>0.31568127025083792</v>
      </c>
      <c r="E11" s="50">
        <v>0.12959774672169735</v>
      </c>
      <c r="F11" s="2"/>
    </row>
    <row r="12" spans="1:6" x14ac:dyDescent="0.3">
      <c r="A12" s="52">
        <v>11</v>
      </c>
      <c r="B12" s="50">
        <v>8.3969892927697209</v>
      </c>
      <c r="C12" s="50">
        <v>2.767369423126026E-2</v>
      </c>
      <c r="D12" s="53">
        <v>0.44498065115823748</v>
      </c>
      <c r="E12" s="50">
        <v>0.10631616911340019</v>
      </c>
      <c r="F12" s="2"/>
    </row>
    <row r="13" spans="1:6" x14ac:dyDescent="0.3">
      <c r="A13" s="52">
        <v>12</v>
      </c>
      <c r="B13" s="50">
        <v>8.5308127305734267</v>
      </c>
      <c r="C13" s="50">
        <v>4.9376226219418631E-2</v>
      </c>
      <c r="D13" s="53">
        <v>0.32100408780730172</v>
      </c>
      <c r="E13" s="50">
        <v>0.13530221433811174</v>
      </c>
      <c r="F13" s="2"/>
    </row>
    <row r="14" spans="1:6" x14ac:dyDescent="0.3">
      <c r="A14" s="52">
        <v>13</v>
      </c>
      <c r="B14" s="50">
        <v>9.4238857390804043</v>
      </c>
      <c r="C14" s="50">
        <v>1.1947323049418842E-2</v>
      </c>
      <c r="D14" s="53">
        <v>0.61231089109667203</v>
      </c>
      <c r="E14" s="50">
        <v>0.11153450766439332</v>
      </c>
      <c r="F14" s="2"/>
    </row>
    <row r="15" spans="1:6" x14ac:dyDescent="0.3">
      <c r="A15" s="52">
        <v>14</v>
      </c>
      <c r="B15" s="50">
        <v>5.8069208500142322</v>
      </c>
      <c r="C15" s="50">
        <v>3.7499439591030713E-2</v>
      </c>
      <c r="D15" s="53">
        <v>0.66422676411838821</v>
      </c>
      <c r="E15" s="50">
        <v>0.11511567062925958</v>
      </c>
      <c r="F15" s="2"/>
    </row>
    <row r="16" spans="1:6" x14ac:dyDescent="0.3">
      <c r="A16" s="52">
        <v>15</v>
      </c>
      <c r="B16" s="50">
        <v>1.6485775448739683</v>
      </c>
      <c r="C16" s="50">
        <v>1.1703109789367713E-2</v>
      </c>
      <c r="D16" s="53">
        <v>0.23878214999183223</v>
      </c>
      <c r="E16" s="50">
        <v>0.11808511414556738</v>
      </c>
      <c r="F16" s="2"/>
    </row>
    <row r="17" spans="1:6" x14ac:dyDescent="0.3">
      <c r="A17" s="52">
        <v>16</v>
      </c>
      <c r="B17" s="50">
        <v>4.1375055114533623</v>
      </c>
      <c r="C17" s="50">
        <v>2.1646145833825646E-2</v>
      </c>
      <c r="D17" s="53">
        <v>0.6081541029929991</v>
      </c>
      <c r="E17" s="50">
        <v>0.10661531317065576</v>
      </c>
      <c r="F17" s="2"/>
    </row>
    <row r="18" spans="1:6" x14ac:dyDescent="0.3">
      <c r="A18" s="52">
        <v>17</v>
      </c>
      <c r="B18" s="50">
        <v>5.5516267326831725</v>
      </c>
      <c r="C18" s="50">
        <v>5.1647988402246367E-2</v>
      </c>
      <c r="D18" s="53">
        <v>0.32507606539887124</v>
      </c>
      <c r="E18" s="50">
        <v>0.13411748473133245</v>
      </c>
      <c r="F18" s="2"/>
    </row>
    <row r="19" spans="1:6" x14ac:dyDescent="0.3">
      <c r="A19" s="52">
        <v>18</v>
      </c>
      <c r="B19" s="50">
        <v>10.810350799618719</v>
      </c>
      <c r="C19" s="50">
        <v>2.2563764262680433E-2</v>
      </c>
      <c r="D19" s="53">
        <v>0.57995192638740534</v>
      </c>
      <c r="E19" s="50">
        <v>0.13114761854443777</v>
      </c>
      <c r="F19" s="2"/>
    </row>
    <row r="20" spans="1:6" x14ac:dyDescent="0.3">
      <c r="A20" s="52">
        <v>19</v>
      </c>
      <c r="B20" s="50">
        <v>2.4392990203854126</v>
      </c>
      <c r="C20" s="50">
        <v>5.1540412703311021E-2</v>
      </c>
      <c r="D20" s="53">
        <v>0.56663508816453678</v>
      </c>
      <c r="E20" s="50">
        <v>0.12640377877847594</v>
      </c>
      <c r="F20" s="2"/>
    </row>
    <row r="21" spans="1:6" x14ac:dyDescent="0.3">
      <c r="A21" s="52">
        <v>20</v>
      </c>
      <c r="B21" s="50">
        <v>2.0337630665658049</v>
      </c>
      <c r="C21" s="50">
        <v>4.33881166579283E-2</v>
      </c>
      <c r="D21" s="53">
        <v>0.41513870386821605</v>
      </c>
      <c r="E21" s="50">
        <v>0.13166906135162915</v>
      </c>
      <c r="F21" s="2"/>
    </row>
    <row r="22" spans="1:6" x14ac:dyDescent="0.3">
      <c r="A22" s="52">
        <v>21</v>
      </c>
      <c r="B22" s="50">
        <v>7.6040831374540989</v>
      </c>
      <c r="C22" s="50">
        <v>3.1561189455238316E-2</v>
      </c>
      <c r="D22" s="53">
        <v>0.30486747389021596</v>
      </c>
      <c r="E22" s="50">
        <v>0.1228330485075699</v>
      </c>
      <c r="F22" s="2"/>
    </row>
    <row r="23" spans="1:6" x14ac:dyDescent="0.3">
      <c r="A23" s="52">
        <v>22</v>
      </c>
      <c r="B23" s="50">
        <v>1.2042242395827631</v>
      </c>
      <c r="C23" s="50">
        <v>3.4485471405317374E-2</v>
      </c>
      <c r="D23" s="53">
        <v>0.403886053990132</v>
      </c>
      <c r="E23" s="50">
        <v>0.12230930393251914</v>
      </c>
      <c r="F23" s="2"/>
    </row>
    <row r="24" spans="1:6" x14ac:dyDescent="0.3">
      <c r="A24" s="52">
        <v>23</v>
      </c>
      <c r="B24" s="50">
        <v>1.9040274624121991</v>
      </c>
      <c r="C24" s="50">
        <v>5.1173143042301278E-2</v>
      </c>
      <c r="D24" s="53">
        <v>0.45547307616928723</v>
      </c>
      <c r="E24" s="50">
        <v>0.13041365348042736</v>
      </c>
      <c r="F24" s="2"/>
    </row>
    <row r="25" spans="1:6" x14ac:dyDescent="0.3">
      <c r="A25" s="52">
        <v>24</v>
      </c>
      <c r="B25" s="50">
        <v>4.7082329484135581</v>
      </c>
      <c r="C25" s="50">
        <v>5.0923398407887212E-2</v>
      </c>
      <c r="D25" s="53">
        <v>0.23046413256599207</v>
      </c>
      <c r="E25" s="50">
        <v>0.11107683341940311</v>
      </c>
      <c r="F25" s="2"/>
    </row>
    <row r="26" spans="1:6" x14ac:dyDescent="0.3">
      <c r="A26" s="52">
        <v>25</v>
      </c>
      <c r="B26" s="50">
        <v>7.6602214236586637</v>
      </c>
      <c r="C26" s="50">
        <v>1.0333077966292938E-2</v>
      </c>
      <c r="D26" s="53">
        <v>0.49094368618115669</v>
      </c>
      <c r="E26" s="50">
        <v>0.12617227938457928</v>
      </c>
      <c r="F26" s="2"/>
    </row>
    <row r="27" spans="1:6" x14ac:dyDescent="0.3">
      <c r="A27" s="52">
        <v>26</v>
      </c>
      <c r="B27" s="50">
        <v>1.4027930630655707</v>
      </c>
      <c r="C27" s="50">
        <v>5.5289399739773384E-2</v>
      </c>
      <c r="D27" s="53">
        <v>0.25692441508306896</v>
      </c>
      <c r="E27" s="50">
        <v>0.10857832731223976</v>
      </c>
      <c r="F27" s="2"/>
    </row>
    <row r="28" spans="1:6" x14ac:dyDescent="0.3">
      <c r="A28" s="52">
        <v>27</v>
      </c>
      <c r="B28" s="50">
        <v>8.5456788881981609</v>
      </c>
      <c r="C28" s="50">
        <v>1.3568750867256852E-2</v>
      </c>
      <c r="D28" s="53">
        <v>0.6633103429721009</v>
      </c>
      <c r="E28" s="50">
        <v>0.13792462494892924</v>
      </c>
      <c r="F28" s="2"/>
    </row>
    <row r="29" spans="1:6" x14ac:dyDescent="0.3">
      <c r="A29" s="52">
        <v>28</v>
      </c>
      <c r="B29" s="50">
        <v>3.8464858734122203</v>
      </c>
      <c r="C29" s="50">
        <v>2.5097972684428302E-2</v>
      </c>
      <c r="D29" s="53">
        <v>0.24368356601692198</v>
      </c>
      <c r="E29" s="50">
        <v>0.10762410425801257</v>
      </c>
      <c r="F29" s="2"/>
    </row>
    <row r="30" spans="1:6" x14ac:dyDescent="0.3">
      <c r="A30" s="52">
        <v>29</v>
      </c>
      <c r="B30" s="50">
        <v>8.1231984726683866</v>
      </c>
      <c r="C30" s="50">
        <v>5.2469387805803167E-2</v>
      </c>
      <c r="D30" s="53">
        <v>0.56505132067971264</v>
      </c>
      <c r="E30" s="50">
        <v>0.10164171729242658</v>
      </c>
      <c r="F30" s="2"/>
    </row>
    <row r="31" spans="1:6" x14ac:dyDescent="0.3">
      <c r="A31" s="52">
        <v>30</v>
      </c>
      <c r="B31" s="50">
        <v>4.6802302020514697</v>
      </c>
      <c r="C31" s="50">
        <v>5.6651472614051054E-2</v>
      </c>
      <c r="D31" s="53">
        <v>0.4722905932909065</v>
      </c>
      <c r="E31" s="50">
        <v>0.1045533625918828</v>
      </c>
      <c r="F31" s="2"/>
    </row>
    <row r="32" spans="1:6" x14ac:dyDescent="0.3">
      <c r="A32" s="52">
        <v>31</v>
      </c>
      <c r="B32" s="50">
        <v>10.869400565290459</v>
      </c>
      <c r="C32" s="50">
        <v>3.0565378751610764E-2</v>
      </c>
      <c r="D32" s="53">
        <v>0.63461637672113402</v>
      </c>
      <c r="E32" s="50">
        <v>0.11643396080613838</v>
      </c>
      <c r="F32" s="2"/>
    </row>
    <row r="33" spans="1:6" x14ac:dyDescent="0.3">
      <c r="A33" s="52">
        <v>32</v>
      </c>
      <c r="B33" s="50">
        <v>3.9146664010255066</v>
      </c>
      <c r="C33" s="50">
        <v>5.3612601656484307E-2</v>
      </c>
      <c r="D33" s="53">
        <v>0.26427613870425681</v>
      </c>
      <c r="E33" s="50">
        <v>0.13167972715536744</v>
      </c>
      <c r="F33" s="2"/>
    </row>
    <row r="34" spans="1:6" x14ac:dyDescent="0.3">
      <c r="A34" s="52">
        <v>33</v>
      </c>
      <c r="B34" s="50">
        <v>4.5075024080426545</v>
      </c>
      <c r="C34" s="50">
        <v>1.2662826088776969E-2</v>
      </c>
      <c r="D34" s="53">
        <v>0.62262389971490506</v>
      </c>
      <c r="E34" s="50">
        <v>0.12924134718435398</v>
      </c>
      <c r="F34" s="2"/>
    </row>
    <row r="35" spans="1:6" x14ac:dyDescent="0.3">
      <c r="A35" s="52">
        <v>34</v>
      </c>
      <c r="B35" s="50">
        <v>5.9805708989118322</v>
      </c>
      <c r="C35" s="50">
        <v>1.0169743635614443E-2</v>
      </c>
      <c r="D35" s="53">
        <v>0.68983689975407003</v>
      </c>
      <c r="E35" s="50">
        <v>0.13468678970889267</v>
      </c>
      <c r="F35" s="2"/>
    </row>
    <row r="36" spans="1:6" x14ac:dyDescent="0.3">
      <c r="A36" s="52">
        <v>35</v>
      </c>
      <c r="B36" s="50">
        <v>7.1054239339434009</v>
      </c>
      <c r="C36" s="50">
        <v>3.0055523740202525E-2</v>
      </c>
      <c r="D36" s="53">
        <v>0.5300793531943534</v>
      </c>
      <c r="E36" s="50">
        <v>0.13361619331255495</v>
      </c>
      <c r="F36" s="2"/>
    </row>
    <row r="37" spans="1:6" x14ac:dyDescent="0.3">
      <c r="A37" s="52">
        <v>36</v>
      </c>
      <c r="B37" s="50">
        <v>9.300905112553421</v>
      </c>
      <c r="C37" s="50">
        <v>4.8454472836271259E-2</v>
      </c>
      <c r="D37" s="53">
        <v>0.59785757576352738</v>
      </c>
      <c r="E37" s="50">
        <v>0.12058224480445412</v>
      </c>
      <c r="F37" s="2"/>
    </row>
    <row r="38" spans="1:6" x14ac:dyDescent="0.3">
      <c r="A38" s="52">
        <v>37</v>
      </c>
      <c r="B38" s="50">
        <v>2.3490249279405497</v>
      </c>
      <c r="C38" s="50">
        <v>5.1910534861334505E-2</v>
      </c>
      <c r="D38" s="53">
        <v>0.23975885554750409</v>
      </c>
      <c r="E38" s="50">
        <v>0.13844756624017682</v>
      </c>
      <c r="F38" s="2"/>
    </row>
    <row r="39" spans="1:6" x14ac:dyDescent="0.3">
      <c r="A39" s="52">
        <v>38</v>
      </c>
      <c r="B39" s="50">
        <v>8.7384925209793689</v>
      </c>
      <c r="C39" s="50">
        <v>5.3613842072692874E-2</v>
      </c>
      <c r="D39" s="53">
        <v>0.59498578725052254</v>
      </c>
      <c r="E39" s="50">
        <v>0.11327921799175336</v>
      </c>
      <c r="F39" s="2"/>
    </row>
    <row r="40" spans="1:6" x14ac:dyDescent="0.3">
      <c r="A40" s="52">
        <v>39</v>
      </c>
      <c r="B40" s="50">
        <v>9.8772310935891028</v>
      </c>
      <c r="C40" s="50">
        <v>3.2505942566761169E-2</v>
      </c>
      <c r="D40" s="53">
        <v>0.60117178113189695</v>
      </c>
      <c r="E40" s="50">
        <v>0.13051528551717331</v>
      </c>
      <c r="F40" s="2"/>
    </row>
    <row r="41" spans="1:6" x14ac:dyDescent="0.3">
      <c r="A41" s="52">
        <v>40</v>
      </c>
      <c r="B41" s="50">
        <v>9.3966024763096989</v>
      </c>
      <c r="C41" s="50">
        <v>4.3424758897292831E-2</v>
      </c>
      <c r="D41" s="53">
        <v>0.64678015251833931</v>
      </c>
      <c r="E41" s="50">
        <v>0.10584484207039921</v>
      </c>
      <c r="F41" s="2"/>
    </row>
    <row r="42" spans="1:6" x14ac:dyDescent="0.3">
      <c r="A42" s="52">
        <v>41</v>
      </c>
      <c r="B42" s="50">
        <v>8.6976848888820086</v>
      </c>
      <c r="C42" s="50">
        <v>4.7348815314400321E-2</v>
      </c>
      <c r="D42" s="53">
        <v>0.29802319506158736</v>
      </c>
      <c r="E42" s="50">
        <v>0.11377772708864226</v>
      </c>
      <c r="F42" s="2"/>
    </row>
    <row r="43" spans="1:6" x14ac:dyDescent="0.3">
      <c r="A43" s="52">
        <v>42</v>
      </c>
      <c r="B43" s="50">
        <v>8.9204542415548627</v>
      </c>
      <c r="C43" s="50">
        <v>1.3674280994419225E-2</v>
      </c>
      <c r="D43" s="53">
        <v>0.27041723174687338</v>
      </c>
      <c r="E43" s="50">
        <v>0.11012062410619328</v>
      </c>
      <c r="F43" s="2"/>
    </row>
    <row r="44" spans="1:6" x14ac:dyDescent="0.3">
      <c r="A44" s="52">
        <v>43</v>
      </c>
      <c r="B44" s="50">
        <v>6.6109332185481611</v>
      </c>
      <c r="C44" s="50">
        <v>5.676202379632414E-2</v>
      </c>
      <c r="D44" s="53">
        <v>0.46055551204184697</v>
      </c>
      <c r="E44" s="50">
        <v>0.13868641965705727</v>
      </c>
      <c r="F44" s="2"/>
    </row>
    <row r="45" spans="1:6" x14ac:dyDescent="0.3">
      <c r="A45" s="52">
        <v>44</v>
      </c>
      <c r="B45" s="50">
        <v>1.2550974996021949</v>
      </c>
      <c r="C45" s="50">
        <v>3.6418290708041159E-2</v>
      </c>
      <c r="D45" s="53">
        <v>0.63229804231588249</v>
      </c>
      <c r="E45" s="50">
        <v>0.11512292188103702</v>
      </c>
      <c r="F45" s="2"/>
    </row>
    <row r="46" spans="1:6" x14ac:dyDescent="0.3">
      <c r="A46" s="52">
        <v>45</v>
      </c>
      <c r="B46" s="50">
        <v>3.6993869665247816</v>
      </c>
      <c r="C46" s="50">
        <v>3.795859199446161E-2</v>
      </c>
      <c r="D46" s="53">
        <v>0.28290816055339119</v>
      </c>
      <c r="E46" s="50">
        <v>0.11908913202543403</v>
      </c>
      <c r="F46" s="2"/>
    </row>
    <row r="47" spans="1:6" x14ac:dyDescent="0.3">
      <c r="A47" s="52">
        <v>46</v>
      </c>
      <c r="B47" s="50">
        <v>4.8315484401644753</v>
      </c>
      <c r="C47" s="50">
        <v>4.0418583064794865E-2</v>
      </c>
      <c r="D47" s="53">
        <v>0.44450404250639997</v>
      </c>
      <c r="E47" s="50">
        <v>0.12412602058290595</v>
      </c>
      <c r="F47" s="2"/>
    </row>
    <row r="48" spans="1:6" x14ac:dyDescent="0.3">
      <c r="A48" s="52">
        <v>47</v>
      </c>
      <c r="B48" s="50">
        <v>4.9206383359559558</v>
      </c>
      <c r="C48" s="50">
        <v>4.1871553647260272E-2</v>
      </c>
      <c r="D48" s="53">
        <v>0.31914538221676392</v>
      </c>
      <c r="E48" s="50">
        <v>0.10127489691999735</v>
      </c>
      <c r="F48" s="2"/>
    </row>
    <row r="49" spans="1:6" x14ac:dyDescent="0.3">
      <c r="A49" s="52">
        <v>48</v>
      </c>
      <c r="B49" s="50">
        <v>8.0516670143246962</v>
      </c>
      <c r="C49" s="50">
        <v>4.3646293932275725E-2</v>
      </c>
      <c r="D49" s="53">
        <v>0.29875486333017853</v>
      </c>
      <c r="E49" s="50">
        <v>0.12239370289672052</v>
      </c>
      <c r="F49" s="2"/>
    </row>
    <row r="50" spans="1:6" x14ac:dyDescent="0.3">
      <c r="A50" s="52">
        <v>49</v>
      </c>
      <c r="B50" s="50">
        <v>6.9514260211182624</v>
      </c>
      <c r="C50" s="50">
        <v>4.5988347961935357E-2</v>
      </c>
      <c r="D50" s="53">
        <v>0.68617424011340833</v>
      </c>
      <c r="E50" s="50">
        <v>0.10075484023360672</v>
      </c>
      <c r="F50" s="2"/>
    </row>
    <row r="51" spans="1:6" x14ac:dyDescent="0.3">
      <c r="A51" s="52">
        <v>50</v>
      </c>
      <c r="B51" s="50">
        <v>8.3901456324162869</v>
      </c>
      <c r="C51" s="50">
        <v>5.8158710199308669E-2</v>
      </c>
      <c r="D51" s="53">
        <v>0.47821276883639796</v>
      </c>
      <c r="E51" s="50">
        <v>0.10866445438751544</v>
      </c>
      <c r="F51" s="2"/>
    </row>
    <row r="52" spans="1:6" x14ac:dyDescent="0.3">
      <c r="A52" s="52">
        <v>51</v>
      </c>
      <c r="B52" s="50">
        <v>3.5906797538514317</v>
      </c>
      <c r="C52" s="50">
        <v>2.1663832222160669E-2</v>
      </c>
      <c r="D52" s="53">
        <v>0.37728556210490194</v>
      </c>
      <c r="E52" s="50">
        <v>0.11806101871030746</v>
      </c>
      <c r="F52" s="2"/>
    </row>
    <row r="53" spans="1:6" x14ac:dyDescent="0.3">
      <c r="A53" s="52">
        <v>52</v>
      </c>
      <c r="B53" s="50">
        <v>8.5378732197979161</v>
      </c>
      <c r="C53" s="50">
        <v>2.996236509505823E-2</v>
      </c>
      <c r="D53" s="53">
        <v>0.61104187246048813</v>
      </c>
      <c r="E53" s="50">
        <v>0.10725827034040378</v>
      </c>
      <c r="F53" s="2"/>
    </row>
    <row r="54" spans="1:6" x14ac:dyDescent="0.3">
      <c r="A54" s="52">
        <v>53</v>
      </c>
      <c r="B54" s="50">
        <v>2.9856840834995526</v>
      </c>
      <c r="C54" s="50">
        <v>2.8207052284732879E-2</v>
      </c>
      <c r="D54" s="53">
        <v>0.24488742906452443</v>
      </c>
      <c r="E54" s="50">
        <v>0.10642642368353039</v>
      </c>
      <c r="F54" s="2"/>
    </row>
    <row r="55" spans="1:6" x14ac:dyDescent="0.3">
      <c r="A55" s="52">
        <v>54</v>
      </c>
      <c r="B55" s="50">
        <v>8.2342757175777361</v>
      </c>
      <c r="C55" s="50">
        <v>3.2130693570795996E-2</v>
      </c>
      <c r="D55" s="53">
        <v>0.25464974174436694</v>
      </c>
      <c r="E55" s="50">
        <v>0.10250278832607154</v>
      </c>
      <c r="F55" s="2"/>
    </row>
    <row r="56" spans="1:6" x14ac:dyDescent="0.3">
      <c r="A56" s="52">
        <v>55</v>
      </c>
      <c r="B56" s="50">
        <v>1.088466378198353</v>
      </c>
      <c r="C56" s="50">
        <v>2.441100327085248E-2</v>
      </c>
      <c r="D56" s="53">
        <v>0.30861886504360347</v>
      </c>
      <c r="E56" s="50">
        <v>0.10137775178807033</v>
      </c>
      <c r="F56" s="2"/>
    </row>
    <row r="57" spans="1:6" x14ac:dyDescent="0.3">
      <c r="A57" s="52">
        <v>56</v>
      </c>
      <c r="B57" s="50">
        <v>8.1622363044850736</v>
      </c>
      <c r="C57" s="50">
        <v>5.3328414198889326E-2</v>
      </c>
      <c r="D57" s="53">
        <v>0.34290007437103986</v>
      </c>
      <c r="E57" s="50">
        <v>0.10072910356217013</v>
      </c>
      <c r="F57" s="2"/>
    </row>
    <row r="58" spans="1:6" x14ac:dyDescent="0.3">
      <c r="A58" s="52">
        <v>57</v>
      </c>
      <c r="B58" s="50">
        <v>2.2122162163148911</v>
      </c>
      <c r="C58" s="50">
        <v>5.5072206066467781E-2</v>
      </c>
      <c r="D58" s="53">
        <v>0.33976200731732742</v>
      </c>
      <c r="E58" s="50">
        <v>0.10125367629307698</v>
      </c>
      <c r="F58" s="2"/>
    </row>
    <row r="59" spans="1:6" x14ac:dyDescent="0.3">
      <c r="A59" s="52">
        <v>58</v>
      </c>
      <c r="B59" s="50">
        <v>9.6913262885539115</v>
      </c>
      <c r="C59" s="50">
        <v>3.9478714859582362E-2</v>
      </c>
      <c r="D59" s="53">
        <v>0.3213960702055253</v>
      </c>
      <c r="E59" s="50">
        <v>0.13995251362072786</v>
      </c>
      <c r="F59" s="2"/>
    </row>
    <row r="60" spans="1:6" x14ac:dyDescent="0.3">
      <c r="A60" s="52">
        <v>59</v>
      </c>
      <c r="B60" s="50">
        <v>8.0233677127741974</v>
      </c>
      <c r="C60" s="50">
        <v>2.9011169908627489E-2</v>
      </c>
      <c r="D60" s="53">
        <v>0.4221139839134509</v>
      </c>
      <c r="E60" s="50">
        <v>0.13433242675583779</v>
      </c>
      <c r="F60" s="2"/>
    </row>
    <row r="61" spans="1:6" x14ac:dyDescent="0.3">
      <c r="A61" s="52">
        <v>60</v>
      </c>
      <c r="B61" s="50">
        <v>2.3189503091178958</v>
      </c>
      <c r="C61" s="50">
        <v>1.1732376427232622E-2</v>
      </c>
      <c r="D61" s="53">
        <v>0.2117527587759801</v>
      </c>
      <c r="E61" s="50">
        <v>0.10031872765066355</v>
      </c>
      <c r="F61" s="2"/>
    </row>
    <row r="62" spans="1:6" x14ac:dyDescent="0.3">
      <c r="A62" s="52">
        <v>61</v>
      </c>
      <c r="B62" s="50">
        <v>6.1665311912174747</v>
      </c>
      <c r="C62" s="50">
        <v>1.0611659424387423E-2</v>
      </c>
      <c r="D62" s="53">
        <v>0.68773675939844758</v>
      </c>
      <c r="E62" s="50">
        <v>0.12708290028875185</v>
      </c>
      <c r="F62" s="2"/>
    </row>
    <row r="63" spans="1:6" x14ac:dyDescent="0.3">
      <c r="A63" s="52">
        <v>62</v>
      </c>
      <c r="B63" s="50">
        <v>4.1569754396347722</v>
      </c>
      <c r="C63" s="50">
        <v>2.1458863144407495E-2</v>
      </c>
      <c r="D63" s="53">
        <v>0.39674587505405601</v>
      </c>
      <c r="E63" s="50">
        <v>0.12142183819903039</v>
      </c>
      <c r="F63" s="2"/>
    </row>
    <row r="64" spans="1:6" x14ac:dyDescent="0.3">
      <c r="A64" s="52">
        <v>63</v>
      </c>
      <c r="B64" s="50">
        <v>10.268248883815462</v>
      </c>
      <c r="C64" s="50">
        <v>2.3410762736715891E-2</v>
      </c>
      <c r="D64" s="53">
        <v>0.42137740161448733</v>
      </c>
      <c r="E64" s="50">
        <v>0.10281574852737184</v>
      </c>
      <c r="F64" s="2"/>
    </row>
    <row r="65" spans="1:6" x14ac:dyDescent="0.3">
      <c r="A65" s="52">
        <v>64</v>
      </c>
      <c r="B65" s="50">
        <v>10.673199998652498</v>
      </c>
      <c r="C65" s="50">
        <v>2.333808157823301E-2</v>
      </c>
      <c r="D65" s="53">
        <v>0.29064867434225439</v>
      </c>
      <c r="E65" s="50">
        <v>0.10440602577013545</v>
      </c>
      <c r="F65" s="2"/>
    </row>
    <row r="66" spans="1:6" x14ac:dyDescent="0.3">
      <c r="A66" s="52">
        <v>65</v>
      </c>
      <c r="B66" s="50">
        <v>1.3826549331444318</v>
      </c>
      <c r="C66" s="50">
        <v>1.1950136557084717E-2</v>
      </c>
      <c r="D66" s="53">
        <v>0.54348701272375433</v>
      </c>
      <c r="E66" s="50">
        <v>0.13511970343324797</v>
      </c>
      <c r="F66" s="2"/>
    </row>
    <row r="67" spans="1:6" x14ac:dyDescent="0.3">
      <c r="A67" s="52">
        <v>66</v>
      </c>
      <c r="B67" s="50">
        <v>3.1536814019105055</v>
      </c>
      <c r="C67" s="50">
        <v>5.8269265206104433E-2</v>
      </c>
      <c r="D67" s="53">
        <v>0.60731939550287373</v>
      </c>
      <c r="E67" s="50">
        <v>0.10265356627612908</v>
      </c>
      <c r="F67" s="2"/>
    </row>
    <row r="68" spans="1:6" x14ac:dyDescent="0.3">
      <c r="A68" s="52">
        <v>67</v>
      </c>
      <c r="B68" s="50">
        <v>9.264013733791856</v>
      </c>
      <c r="C68" s="50">
        <v>4.2326681377969522E-2</v>
      </c>
      <c r="D68" s="53">
        <v>0.54733973209912379</v>
      </c>
      <c r="E68" s="50">
        <v>0.10495585022121799</v>
      </c>
      <c r="F68" s="2"/>
    </row>
    <row r="69" spans="1:6" x14ac:dyDescent="0.3">
      <c r="A69" s="52">
        <v>68</v>
      </c>
      <c r="B69" s="50">
        <v>10.158135652355226</v>
      </c>
      <c r="C69" s="50">
        <v>2.0607417482393933E-2</v>
      </c>
      <c r="D69" s="53">
        <v>0.31161773195781539</v>
      </c>
      <c r="E69" s="50">
        <v>0.1152097850178625</v>
      </c>
      <c r="F69" s="2"/>
    </row>
    <row r="70" spans="1:6" x14ac:dyDescent="0.3">
      <c r="A70" s="52">
        <v>69</v>
      </c>
      <c r="B70" s="50">
        <v>1.3299276916067184</v>
      </c>
      <c r="C70" s="50">
        <v>5.5943242813198658E-2</v>
      </c>
      <c r="D70" s="53">
        <v>0.65960207770955959</v>
      </c>
      <c r="E70" s="50">
        <v>0.10438510330015383</v>
      </c>
      <c r="F70" s="2"/>
    </row>
    <row r="71" spans="1:6" x14ac:dyDescent="0.3">
      <c r="A71" s="52">
        <v>70</v>
      </c>
      <c r="B71" s="50">
        <v>1.6612967459346408</v>
      </c>
      <c r="C71" s="50">
        <v>1.4203439875536579E-2</v>
      </c>
      <c r="D71" s="53">
        <v>0.44582121139090425</v>
      </c>
      <c r="E71" s="50">
        <v>0.10509648265241604</v>
      </c>
      <c r="F71" s="2"/>
    </row>
    <row r="72" spans="1:6" x14ac:dyDescent="0.3">
      <c r="A72" s="52">
        <v>71</v>
      </c>
      <c r="B72" s="50">
        <v>2.224656752148042</v>
      </c>
      <c r="C72" s="50">
        <v>4.3920475820826387E-2</v>
      </c>
      <c r="D72" s="53">
        <v>0.46300614450734534</v>
      </c>
      <c r="E72" s="50">
        <v>0.1388599163158494</v>
      </c>
      <c r="F72" s="2"/>
    </row>
    <row r="73" spans="1:6" x14ac:dyDescent="0.3">
      <c r="A73" s="52">
        <v>72</v>
      </c>
      <c r="B73" s="50">
        <v>4.742387246625027</v>
      </c>
      <c r="C73" s="50">
        <v>3.5737095870318626E-2</v>
      </c>
      <c r="D73" s="53">
        <v>0.36469003508983466</v>
      </c>
      <c r="E73" s="50">
        <v>0.13511956428642136</v>
      </c>
      <c r="F73" s="2"/>
    </row>
    <row r="74" spans="1:6" x14ac:dyDescent="0.3">
      <c r="A74" s="52">
        <v>73</v>
      </c>
      <c r="B74" s="50">
        <v>5.307747345723457</v>
      </c>
      <c r="C74" s="50">
        <v>3.9974862484740449E-2</v>
      </c>
      <c r="D74" s="53">
        <v>0.44641921040529908</v>
      </c>
      <c r="E74" s="50">
        <v>0.10026099477580827</v>
      </c>
      <c r="F74" s="2"/>
    </row>
    <row r="75" spans="1:6" x14ac:dyDescent="0.3">
      <c r="A75" s="52">
        <v>74</v>
      </c>
      <c r="B75" s="50">
        <v>6.3199029324760971</v>
      </c>
      <c r="C75" s="50">
        <v>1.2279061281115403E-2</v>
      </c>
      <c r="D75" s="53">
        <v>0.4899126991343784</v>
      </c>
      <c r="E75" s="50">
        <v>0.11074412352754875</v>
      </c>
      <c r="F75" s="2"/>
    </row>
    <row r="76" spans="1:6" x14ac:dyDescent="0.3">
      <c r="A76" s="52">
        <v>75</v>
      </c>
      <c r="B76" s="50">
        <v>1.0413124437954882</v>
      </c>
      <c r="C76" s="50">
        <v>4.3680320905037082E-2</v>
      </c>
      <c r="D76" s="53">
        <v>0.6128320693544691</v>
      </c>
      <c r="E76" s="50">
        <v>0.13623491948657335</v>
      </c>
      <c r="F76" s="2"/>
    </row>
    <row r="77" spans="1:6" x14ac:dyDescent="0.3">
      <c r="A77" s="52">
        <v>76</v>
      </c>
      <c r="B77" s="50">
        <v>10.390369034934245</v>
      </c>
      <c r="C77" s="50">
        <v>3.9221079323609319E-2</v>
      </c>
      <c r="D77" s="53">
        <v>0.55158045878683415</v>
      </c>
      <c r="E77" s="50">
        <v>0.10551854286332567</v>
      </c>
      <c r="F77" s="2"/>
    </row>
    <row r="78" spans="1:6" x14ac:dyDescent="0.3">
      <c r="A78" s="52">
        <v>77</v>
      </c>
      <c r="B78" s="50">
        <v>7.6282329803220286</v>
      </c>
      <c r="C78" s="50">
        <v>5.3480651284804309E-2</v>
      </c>
      <c r="D78" s="53">
        <v>0.22903941923322435</v>
      </c>
      <c r="E78" s="50">
        <v>0.1011601167988487</v>
      </c>
      <c r="F78" s="2"/>
    </row>
    <row r="79" spans="1:6" x14ac:dyDescent="0.3">
      <c r="A79" s="52">
        <v>78</v>
      </c>
      <c r="B79" s="50">
        <v>10.932476153502993</v>
      </c>
      <c r="C79" s="50">
        <v>1.0870188362631901E-2</v>
      </c>
      <c r="D79" s="53">
        <v>0.2246684297905045</v>
      </c>
      <c r="E79" s="50">
        <v>0.12164701366846634</v>
      </c>
      <c r="F79" s="2"/>
    </row>
    <row r="80" spans="1:6" x14ac:dyDescent="0.3">
      <c r="A80" s="52">
        <v>79</v>
      </c>
      <c r="B80" s="50">
        <v>6.4904765563408242</v>
      </c>
      <c r="C80" s="50">
        <v>2.4968299520919099E-2</v>
      </c>
      <c r="D80" s="53">
        <v>0.69029541274852779</v>
      </c>
      <c r="E80" s="50">
        <v>0.11933072113471194</v>
      </c>
      <c r="F80" s="2"/>
    </row>
    <row r="81" spans="1:6" x14ac:dyDescent="0.3">
      <c r="A81" s="52">
        <v>80</v>
      </c>
      <c r="B81" s="50">
        <v>4.2203536777115485</v>
      </c>
      <c r="C81" s="50">
        <v>3.5662444226601267E-2</v>
      </c>
      <c r="D81" s="53">
        <v>0.33517539806233332</v>
      </c>
      <c r="E81" s="50">
        <v>0.13237319550437771</v>
      </c>
      <c r="F81" s="2"/>
    </row>
    <row r="82" spans="1:6" x14ac:dyDescent="0.3">
      <c r="A82" s="52">
        <v>81</v>
      </c>
      <c r="B82" s="50">
        <v>7.5032704384548854</v>
      </c>
      <c r="C82" s="50">
        <v>2.6967058719719314E-2</v>
      </c>
      <c r="D82" s="53">
        <v>0.65168796537799534</v>
      </c>
      <c r="E82" s="50">
        <v>0.10067927682232317</v>
      </c>
      <c r="F82" s="2"/>
    </row>
    <row r="83" spans="1:6" x14ac:dyDescent="0.3">
      <c r="A83" s="52">
        <v>82</v>
      </c>
      <c r="B83" s="50">
        <v>1.6071629117449462</v>
      </c>
      <c r="C83" s="50">
        <v>1.8815576231867477E-2</v>
      </c>
      <c r="D83" s="53">
        <v>0.65605080246849312</v>
      </c>
      <c r="E83" s="50">
        <v>0.13973602197883542</v>
      </c>
      <c r="F83" s="2"/>
    </row>
    <row r="84" spans="1:6" x14ac:dyDescent="0.3">
      <c r="A84" s="52">
        <v>83</v>
      </c>
      <c r="B84" s="50">
        <v>6.7506477987089628</v>
      </c>
      <c r="C84" s="50">
        <v>3.2925012514916363E-2</v>
      </c>
      <c r="D84" s="53">
        <v>0.34616762559222491</v>
      </c>
      <c r="E84" s="50">
        <v>0.1320235067564923</v>
      </c>
      <c r="F84" s="2"/>
    </row>
    <row r="85" spans="1:6" x14ac:dyDescent="0.3">
      <c r="A85" s="52">
        <v>84</v>
      </c>
      <c r="B85" s="50">
        <v>2.4725346173984621</v>
      </c>
      <c r="C85" s="50">
        <v>2.0879036035778949E-2</v>
      </c>
      <c r="D85" s="53">
        <v>0.66212402721431252</v>
      </c>
      <c r="E85" s="50">
        <v>0.10002649397962075</v>
      </c>
      <c r="F85" s="2"/>
    </row>
    <row r="86" spans="1:6" x14ac:dyDescent="0.3">
      <c r="A86" s="52">
        <v>85</v>
      </c>
      <c r="B86" s="50">
        <v>4.3598091117805975</v>
      </c>
      <c r="C86" s="50">
        <v>5.0851557829304547E-2</v>
      </c>
      <c r="D86" s="53">
        <v>0.34106067816254171</v>
      </c>
      <c r="E86" s="50">
        <v>0.13538012546279188</v>
      </c>
      <c r="F86" s="2"/>
    </row>
    <row r="87" spans="1:6" x14ac:dyDescent="0.3">
      <c r="A87" s="52">
        <v>86</v>
      </c>
      <c r="B87" s="50">
        <v>3.5286804008345101</v>
      </c>
      <c r="C87" s="50">
        <v>5.7702934543936872E-2</v>
      </c>
      <c r="D87" s="53">
        <v>0.42962505681095808</v>
      </c>
      <c r="E87" s="50">
        <v>0.10980279635119557</v>
      </c>
      <c r="F87" s="2"/>
    </row>
    <row r="88" spans="1:6" x14ac:dyDescent="0.3">
      <c r="A88" s="52">
        <v>87</v>
      </c>
      <c r="B88" s="50">
        <v>2.6810414577976776</v>
      </c>
      <c r="C88" s="50">
        <v>3.0008868947872594E-2</v>
      </c>
      <c r="D88" s="53">
        <v>0.42656939327163235</v>
      </c>
      <c r="E88" s="50">
        <v>0.13196662285067839</v>
      </c>
      <c r="F88" s="2"/>
    </row>
    <row r="89" spans="1:6" x14ac:dyDescent="0.3">
      <c r="A89" s="52">
        <v>88</v>
      </c>
      <c r="B89" s="50">
        <v>6.1801900119593309</v>
      </c>
      <c r="C89" s="50">
        <v>5.7983949502188034E-2</v>
      </c>
      <c r="D89" s="53">
        <v>0.24529615989531661</v>
      </c>
      <c r="E89" s="50">
        <v>0.12244750285210446</v>
      </c>
      <c r="F89" s="2"/>
    </row>
    <row r="90" spans="1:6" x14ac:dyDescent="0.3">
      <c r="A90" s="52">
        <v>89</v>
      </c>
      <c r="B90" s="50">
        <v>4.0840100182008765</v>
      </c>
      <c r="C90" s="50">
        <v>5.2498773572615759E-2</v>
      </c>
      <c r="D90" s="53">
        <v>0.47841175237598021</v>
      </c>
      <c r="E90" s="50">
        <v>0.12336372117124106</v>
      </c>
      <c r="F90" s="2"/>
    </row>
    <row r="91" spans="1:6" x14ac:dyDescent="0.3">
      <c r="A91" s="52">
        <v>90</v>
      </c>
      <c r="B91" s="50">
        <v>8.836820414761176</v>
      </c>
      <c r="C91" s="50">
        <v>1.2635764473106336E-2</v>
      </c>
      <c r="D91" s="53">
        <v>0.5404282094171039</v>
      </c>
      <c r="E91" s="50">
        <v>0.10524266478295946</v>
      </c>
      <c r="F91" s="2"/>
    </row>
    <row r="92" spans="1:6" x14ac:dyDescent="0.3">
      <c r="A92" s="52">
        <v>91</v>
      </c>
      <c r="B92" s="50">
        <v>5.1747923692476121</v>
      </c>
      <c r="C92" s="50">
        <v>1.3085501551217717E-2</v>
      </c>
      <c r="D92" s="53">
        <v>0.36883666172921803</v>
      </c>
      <c r="E92" s="50">
        <v>0.10142017238805404</v>
      </c>
      <c r="F92" s="2"/>
    </row>
    <row r="93" spans="1:6" x14ac:dyDescent="0.3">
      <c r="A93" s="52">
        <v>92</v>
      </c>
      <c r="B93" s="50">
        <v>7.1639513188156458</v>
      </c>
      <c r="C93" s="50">
        <v>4.9845548787286774E-2</v>
      </c>
      <c r="D93" s="53">
        <v>0.69111517152179447</v>
      </c>
      <c r="E93" s="50">
        <v>0.11020493789417668</v>
      </c>
      <c r="F93" s="2"/>
    </row>
    <row r="94" spans="1:6" x14ac:dyDescent="0.3">
      <c r="A94" s="52">
        <v>93</v>
      </c>
      <c r="B94" s="50">
        <v>3.6691814282358681</v>
      </c>
      <c r="C94" s="50">
        <v>5.0411256926503542E-2</v>
      </c>
      <c r="D94" s="53">
        <v>0.60933843535586474</v>
      </c>
      <c r="E94" s="50">
        <v>0.13124098152613256</v>
      </c>
      <c r="F94" s="2"/>
    </row>
    <row r="95" spans="1:6" x14ac:dyDescent="0.3">
      <c r="A95" s="52">
        <v>94</v>
      </c>
      <c r="B95" s="50">
        <v>4.1683012957365015</v>
      </c>
      <c r="C95" s="50">
        <v>5.8145477038991644E-2</v>
      </c>
      <c r="D95" s="53">
        <v>0.47619805291810435</v>
      </c>
      <c r="E95" s="50">
        <v>0.11979545083685306</v>
      </c>
      <c r="F95" s="2"/>
    </row>
    <row r="96" spans="1:6" x14ac:dyDescent="0.3">
      <c r="A96" s="52">
        <v>95</v>
      </c>
      <c r="B96" s="50">
        <v>2.1463075591611704</v>
      </c>
      <c r="C96" s="50">
        <v>3.2572506188292945E-2</v>
      </c>
      <c r="D96" s="53">
        <v>0.44802418381057518</v>
      </c>
      <c r="E96" s="50">
        <v>0.13526842062904687</v>
      </c>
      <c r="F96" s="2"/>
    </row>
    <row r="97" spans="1:6" x14ac:dyDescent="0.3">
      <c r="A97" s="52">
        <v>96</v>
      </c>
      <c r="B97" s="50">
        <v>9.5160575448490228</v>
      </c>
      <c r="C97" s="50">
        <v>5.2432685396596533E-2</v>
      </c>
      <c r="D97" s="53">
        <v>0.27749968198730535</v>
      </c>
      <c r="E97" s="50">
        <v>0.11665115624996511</v>
      </c>
      <c r="F97" s="2"/>
    </row>
    <row r="98" spans="1:6" x14ac:dyDescent="0.3">
      <c r="A98" s="52">
        <v>97</v>
      </c>
      <c r="B98" s="50">
        <v>10.335128386225792</v>
      </c>
      <c r="C98" s="50">
        <v>4.4779252151959749E-2</v>
      </c>
      <c r="D98" s="53">
        <v>0.42073014950101695</v>
      </c>
      <c r="E98" s="50">
        <v>0.13421198420795918</v>
      </c>
      <c r="F98" s="2"/>
    </row>
    <row r="99" spans="1:6" x14ac:dyDescent="0.3">
      <c r="A99" s="52">
        <v>98</v>
      </c>
      <c r="B99" s="50">
        <v>3.2827689510927476</v>
      </c>
      <c r="C99" s="50">
        <v>5.1115027311982954E-2</v>
      </c>
      <c r="D99" s="53">
        <v>0.67895755809370006</v>
      </c>
      <c r="E99" s="50">
        <v>0.11310563310437757</v>
      </c>
      <c r="F99" s="2"/>
    </row>
    <row r="100" spans="1:6" x14ac:dyDescent="0.3">
      <c r="A100" s="52">
        <v>99</v>
      </c>
      <c r="B100" s="50">
        <v>10.83290271438835</v>
      </c>
      <c r="C100" s="50">
        <v>2.96340928516063E-2</v>
      </c>
      <c r="D100" s="53">
        <v>0.62216876669906396</v>
      </c>
      <c r="E100" s="50">
        <v>0.11477011468572759</v>
      </c>
      <c r="F100" s="2"/>
    </row>
    <row r="101" spans="1:6" x14ac:dyDescent="0.3">
      <c r="A101" s="54">
        <v>100</v>
      </c>
      <c r="B101" s="55">
        <v>4.1876166894992117</v>
      </c>
      <c r="C101" s="55">
        <v>4.5849843442694431E-2</v>
      </c>
      <c r="D101" s="56">
        <v>0.62765712114478645</v>
      </c>
      <c r="E101" s="55">
        <v>0.12479544093419508</v>
      </c>
      <c r="F1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DA542-3619-4DFF-A5B1-D5C115C59CE3}">
  <dimension ref="A1:M112"/>
  <sheetViews>
    <sheetView showGridLines="0" workbookViewId="0">
      <selection activeCell="B8" sqref="B8"/>
    </sheetView>
  </sheetViews>
  <sheetFormatPr defaultRowHeight="14.4" x14ac:dyDescent="0.3"/>
  <cols>
    <col min="1" max="1" width="9.109375" bestFit="1" customWidth="1"/>
    <col min="2" max="2" width="10.44140625" bestFit="1" customWidth="1"/>
    <col min="3" max="3" width="8.77734375" bestFit="1" customWidth="1"/>
    <col min="4" max="4" width="10.33203125" bestFit="1" customWidth="1"/>
    <col min="5" max="5" width="5.44140625" bestFit="1" customWidth="1"/>
    <col min="6" max="6" width="13" bestFit="1" customWidth="1"/>
    <col min="7" max="7" width="14.109375" bestFit="1" customWidth="1"/>
    <col min="8" max="8" width="6.44140625" bestFit="1" customWidth="1"/>
    <col min="9" max="9" width="8.21875" bestFit="1" customWidth="1"/>
    <col min="10" max="10" width="13.88671875" bestFit="1" customWidth="1"/>
    <col min="12" max="12" width="16.88671875" bestFit="1" customWidth="1"/>
  </cols>
  <sheetData>
    <row r="1" spans="1:13" x14ac:dyDescent="0.3">
      <c r="A1" s="10" t="s">
        <v>4</v>
      </c>
      <c r="L1" s="3" t="s">
        <v>43</v>
      </c>
    </row>
    <row r="2" spans="1:13" x14ac:dyDescent="0.3">
      <c r="A2" s="11"/>
      <c r="B2" s="12" t="s">
        <v>31</v>
      </c>
      <c r="C2" s="12" t="s">
        <v>27</v>
      </c>
      <c r="D2" s="12" t="s">
        <v>28</v>
      </c>
      <c r="L2" t="s">
        <v>41</v>
      </c>
    </row>
    <row r="3" spans="1:13" x14ac:dyDescent="0.3">
      <c r="A3" s="11" t="s">
        <v>1</v>
      </c>
      <c r="B3" s="13">
        <f>+'2. Working sheet'!$B$8</f>
        <v>584.3740024474688</v>
      </c>
      <c r="C3" s="14">
        <f>+AVERAGE('2. Working sheet'!B10:B109)</f>
        <v>5.8437400244746875</v>
      </c>
      <c r="D3" s="11">
        <f>+_xlfn.STDEV.P('2. Working sheet'!B10:B109)</f>
        <v>2.9575156577117152</v>
      </c>
      <c r="L3" t="s">
        <v>47</v>
      </c>
    </row>
    <row r="4" spans="1:13" x14ac:dyDescent="0.3">
      <c r="A4" s="11" t="s">
        <v>2</v>
      </c>
      <c r="B4" s="15" t="s">
        <v>26</v>
      </c>
      <c r="C4" s="16">
        <f>+AVERAGE('2. Working sheet'!C10:C109)</f>
        <v>3.5706631095201634E-2</v>
      </c>
      <c r="D4" s="17">
        <f>+_xlfn.STDEV.P('2. Working sheet'!C10:C109)</f>
        <v>1.5427860655273573E-2</v>
      </c>
      <c r="L4" t="s">
        <v>42</v>
      </c>
    </row>
    <row r="5" spans="1:13" x14ac:dyDescent="0.3">
      <c r="A5" s="11" t="s">
        <v>3</v>
      </c>
      <c r="B5" s="15" t="s">
        <v>26</v>
      </c>
      <c r="C5" s="18">
        <f>+AVERAGE('2. Working sheet'!D10:D109)</f>
        <v>0.44719690946330865</v>
      </c>
      <c r="D5" s="17">
        <f>+_xlfn.STDEV.P('2. Working sheet'!D10:D109)</f>
        <v>0.15144768800087066</v>
      </c>
    </row>
    <row r="7" spans="1:13" s="3" customFormat="1" x14ac:dyDescent="0.3"/>
    <row r="8" spans="1:13" s="8" customFormat="1" x14ac:dyDescent="0.3">
      <c r="A8" s="8" t="s">
        <v>17</v>
      </c>
      <c r="B8" s="8">
        <f>SUM(B10:B109)</f>
        <v>584.3740024474688</v>
      </c>
      <c r="E8" s="8">
        <f>SUM(E10:E109)</f>
        <v>9.007556776357184</v>
      </c>
      <c r="H8" s="8">
        <f>SUM(H10:H109)</f>
        <v>49.369272813376611</v>
      </c>
      <c r="J8" s="8">
        <f>SUM(J10:J109)</f>
        <v>68.833738831983155</v>
      </c>
      <c r="L8" s="9"/>
      <c r="M8" s="9"/>
    </row>
    <row r="9" spans="1:13" s="9" customFormat="1" x14ac:dyDescent="0.3">
      <c r="A9" s="12" t="s">
        <v>0</v>
      </c>
      <c r="B9" s="12" t="s">
        <v>34</v>
      </c>
      <c r="C9" s="12" t="s">
        <v>35</v>
      </c>
      <c r="D9" s="12" t="s">
        <v>36</v>
      </c>
      <c r="E9" s="12" t="s">
        <v>33</v>
      </c>
      <c r="F9" s="12" t="s">
        <v>5</v>
      </c>
      <c r="G9" s="12" t="s">
        <v>6</v>
      </c>
      <c r="H9" s="12" t="s">
        <v>32</v>
      </c>
      <c r="I9" s="19" t="s">
        <v>37</v>
      </c>
      <c r="J9" s="19" t="s">
        <v>38</v>
      </c>
    </row>
    <row r="10" spans="1:13" x14ac:dyDescent="0.3">
      <c r="A10" s="20">
        <v>1</v>
      </c>
      <c r="B10" s="57">
        <f>+'1. Portfolio Detail'!B2</f>
        <v>2.1113429466439317</v>
      </c>
      <c r="C10" s="32">
        <f>+'1. Portfolio Detail'!C2</f>
        <v>5.6981572052238846E-2</v>
      </c>
      <c r="D10" s="23">
        <f>+'1. Portfolio Detail'!D2</f>
        <v>0.35169592564001417</v>
      </c>
      <c r="E10" s="33">
        <f>+B10*C10*D10</f>
        <v>4.2311706896186727E-2</v>
      </c>
      <c r="F10" s="26">
        <f>+C10*(1-C10)</f>
        <v>5.3734672498694361E-2</v>
      </c>
      <c r="G10" s="34">
        <f>+(D10-'2. Working sheet'!$C$5)^2</f>
        <v>9.1204379112171524E-3</v>
      </c>
      <c r="H10" s="29">
        <f>+B10*(SQRT((C10*G10)+((D10^2)*F10)))</f>
        <v>0.17873163190992891</v>
      </c>
      <c r="I10" s="35">
        <f>+'1. Portfolio Detail'!E2</f>
        <v>0.11575387118681511</v>
      </c>
      <c r="J10" s="29">
        <f t="shared" ref="J10:J41" si="0">+I10*B10</f>
        <v>0.24439611947701234</v>
      </c>
      <c r="K10" s="6"/>
    </row>
    <row r="11" spans="1:13" x14ac:dyDescent="0.3">
      <c r="A11" s="21">
        <v>2</v>
      </c>
      <c r="B11" s="58">
        <f>+'1. Portfolio Detail'!B3</f>
        <v>5.2990654697138799</v>
      </c>
      <c r="C11" s="36">
        <f>+'1. Portfolio Detail'!C3</f>
        <v>4.8475992244990246E-2</v>
      </c>
      <c r="D11" s="24">
        <f>+'1. Portfolio Detail'!D3</f>
        <v>0.33903870304024408</v>
      </c>
      <c r="E11" s="37">
        <f t="shared" ref="E11:E74" si="1">+B11*C11*D11</f>
        <v>8.7091399731211147E-2</v>
      </c>
      <c r="F11" s="27">
        <f t="shared" ref="F11:F74" si="2">+C11*(1-C11)</f>
        <v>4.6126070420853892E-2</v>
      </c>
      <c r="G11" s="38">
        <f>+(D11-'2. Working sheet'!$C$5)^2</f>
        <v>1.1698197616654244E-2</v>
      </c>
      <c r="H11" s="30">
        <f t="shared" ref="H11:H74" si="3">+B11*(SQRT((C11*G11)+((D11^2)*F11)))</f>
        <v>0.405963280931883</v>
      </c>
      <c r="I11" s="39">
        <f>+'1. Portfolio Detail'!E3</f>
        <v>0.11992567153837734</v>
      </c>
      <c r="J11" s="30">
        <f t="shared" si="0"/>
        <v>0.63549398498126397</v>
      </c>
      <c r="K11" s="6"/>
    </row>
    <row r="12" spans="1:13" x14ac:dyDescent="0.3">
      <c r="A12" s="21">
        <v>3</v>
      </c>
      <c r="B12" s="58">
        <f>+'1. Portfolio Detail'!B4</f>
        <v>7.6585824444947148</v>
      </c>
      <c r="C12" s="36">
        <f>+'1. Portfolio Detail'!C4</f>
        <v>2.0339054746107373E-2</v>
      </c>
      <c r="D12" s="24">
        <f>+'1. Portfolio Detail'!D4</f>
        <v>0.69064927587385094</v>
      </c>
      <c r="E12" s="37">
        <f t="shared" si="1"/>
        <v>0.10758128267217812</v>
      </c>
      <c r="F12" s="27">
        <f t="shared" si="2"/>
        <v>1.9925377598142217E-2</v>
      </c>
      <c r="G12" s="38">
        <f>+(D12-'2. Working sheet'!$C$5)^2</f>
        <v>5.9269054710892943E-2</v>
      </c>
      <c r="H12" s="30">
        <f t="shared" si="3"/>
        <v>0.79257301666576141</v>
      </c>
      <c r="I12" s="39">
        <f>+'1. Portfolio Detail'!E4</f>
        <v>0.1258996155975704</v>
      </c>
      <c r="J12" s="30">
        <f t="shared" si="0"/>
        <v>0.96421258578418567</v>
      </c>
      <c r="K12" s="6"/>
    </row>
    <row r="13" spans="1:13" x14ac:dyDescent="0.3">
      <c r="A13" s="21">
        <v>4</v>
      </c>
      <c r="B13" s="58">
        <f>+'1. Portfolio Detail'!B5</f>
        <v>10.038626011511203</v>
      </c>
      <c r="C13" s="36">
        <f>+'1. Portfolio Detail'!C5</f>
        <v>3.9190503311987583E-2</v>
      </c>
      <c r="D13" s="24">
        <f>+'1. Portfolio Detail'!D5</f>
        <v>0.24844378273133538</v>
      </c>
      <c r="E13" s="37">
        <f t="shared" si="1"/>
        <v>9.7742456348343817E-2</v>
      </c>
      <c r="F13" s="27">
        <f t="shared" si="2"/>
        <v>3.765460776214067E-2</v>
      </c>
      <c r="G13" s="38">
        <f>+(D13-'2. Working sheet'!$C$5)^2</f>
        <v>3.9502805385735827E-2</v>
      </c>
      <c r="H13" s="30">
        <f t="shared" si="3"/>
        <v>0.62468488124049648</v>
      </c>
      <c r="I13" s="39">
        <f>+'1. Portfolio Detail'!E5</f>
        <v>0.12382280882056158</v>
      </c>
      <c r="J13" s="30">
        <f t="shared" si="0"/>
        <v>1.2430108694444684</v>
      </c>
      <c r="K13" s="6"/>
    </row>
    <row r="14" spans="1:13" x14ac:dyDescent="0.3">
      <c r="A14" s="21">
        <v>5</v>
      </c>
      <c r="B14" s="58">
        <f>+'1. Portfolio Detail'!B6</f>
        <v>3.3824982370826788</v>
      </c>
      <c r="C14" s="36">
        <f>+'1. Portfolio Detail'!C6</f>
        <v>4.9807073686785178E-2</v>
      </c>
      <c r="D14" s="24">
        <f>+'1. Portfolio Detail'!D6</f>
        <v>0.47692779861809298</v>
      </c>
      <c r="E14" s="37">
        <f t="shared" si="1"/>
        <v>8.0349141738599056E-2</v>
      </c>
      <c r="F14" s="27">
        <f t="shared" si="2"/>
        <v>4.7326329097544327E-2</v>
      </c>
      <c r="G14" s="38">
        <f>+(D14-'2. Working sheet'!$C$5)^2</f>
        <v>8.839257699340728E-4</v>
      </c>
      <c r="H14" s="30">
        <f t="shared" si="3"/>
        <v>0.35166398755993628</v>
      </c>
      <c r="I14" s="39">
        <f>+'1. Portfolio Detail'!E6</f>
        <v>0.10149116017134595</v>
      </c>
      <c r="J14" s="30">
        <f t="shared" si="0"/>
        <v>0.34329367035905345</v>
      </c>
      <c r="K14" s="6"/>
    </row>
    <row r="15" spans="1:13" x14ac:dyDescent="0.3">
      <c r="A15" s="21">
        <v>6</v>
      </c>
      <c r="B15" s="58">
        <f>+'1. Portfolio Detail'!B7</f>
        <v>3.4972013890719724</v>
      </c>
      <c r="C15" s="36">
        <f>+'1. Portfolio Detail'!C7</f>
        <v>1.1442720759738789E-2</v>
      </c>
      <c r="D15" s="24">
        <f>+'1. Portfolio Detail'!D7</f>
        <v>0.36116161253290635</v>
      </c>
      <c r="E15" s="37">
        <f t="shared" si="1"/>
        <v>1.4452784445158927E-2</v>
      </c>
      <c r="F15" s="27">
        <f t="shared" si="2"/>
        <v>1.1311784901353433E-2</v>
      </c>
      <c r="G15" s="38">
        <f>+(D15-'2. Working sheet'!$C$5)^2</f>
        <v>7.4020723179024908E-3</v>
      </c>
      <c r="H15" s="30">
        <f t="shared" si="3"/>
        <v>0.13813649634939254</v>
      </c>
      <c r="I15" s="39">
        <f>+'1. Portfolio Detail'!E7</f>
        <v>0.13136829682509321</v>
      </c>
      <c r="J15" s="30">
        <f t="shared" si="0"/>
        <v>0.45942139013673516</v>
      </c>
      <c r="K15" s="6"/>
    </row>
    <row r="16" spans="1:13" x14ac:dyDescent="0.3">
      <c r="A16" s="21">
        <v>7</v>
      </c>
      <c r="B16" s="58">
        <f>+'1. Portfolio Detail'!B8</f>
        <v>5.846290427679639</v>
      </c>
      <c r="C16" s="36">
        <f>+'1. Portfolio Detail'!C8</f>
        <v>1.5967169097475607E-2</v>
      </c>
      <c r="D16" s="24">
        <f>+'1. Portfolio Detail'!D8</f>
        <v>0.26492403810112031</v>
      </c>
      <c r="E16" s="37">
        <f t="shared" si="1"/>
        <v>2.4730316635597771E-2</v>
      </c>
      <c r="F16" s="27">
        <f t="shared" si="2"/>
        <v>1.5712218608488225E-2</v>
      </c>
      <c r="G16" s="38">
        <f>+(D16-'2. Working sheet'!$C$5)^2</f>
        <v>3.322339963461686E-2</v>
      </c>
      <c r="H16" s="30">
        <f t="shared" si="3"/>
        <v>0.23626838763799471</v>
      </c>
      <c r="I16" s="39">
        <f>+'1. Portfolio Detail'!E8</f>
        <v>0.11144430099995281</v>
      </c>
      <c r="J16" s="30">
        <f t="shared" si="0"/>
        <v>0.65153575015547249</v>
      </c>
      <c r="K16" s="6"/>
    </row>
    <row r="17" spans="1:11" x14ac:dyDescent="0.3">
      <c r="A17" s="21">
        <v>8</v>
      </c>
      <c r="B17" s="58">
        <f>+'1. Portfolio Detail'!B9</f>
        <v>7.9710898417598175</v>
      </c>
      <c r="C17" s="36">
        <f>+'1. Portfolio Detail'!C9</f>
        <v>4.3499080806023334E-2</v>
      </c>
      <c r="D17" s="24">
        <f>+'1. Portfolio Detail'!D9</f>
        <v>0.24926484699453844</v>
      </c>
      <c r="E17" s="37">
        <f t="shared" si="1"/>
        <v>8.6428866947697372E-2</v>
      </c>
      <c r="F17" s="27">
        <f t="shared" si="2"/>
        <v>4.1606910775054386E-2</v>
      </c>
      <c r="G17" s="38">
        <f>+(D17-'2. Working sheet'!$C$5)^2</f>
        <v>3.9177101353141154E-2</v>
      </c>
      <c r="H17" s="30">
        <f t="shared" si="3"/>
        <v>0.52205031533027613</v>
      </c>
      <c r="I17" s="39">
        <f>+'1. Portfolio Detail'!E9</f>
        <v>0.10761221472943579</v>
      </c>
      <c r="J17" s="30">
        <f t="shared" si="0"/>
        <v>0.85778663167908176</v>
      </c>
      <c r="K17" s="6"/>
    </row>
    <row r="18" spans="1:11" x14ac:dyDescent="0.3">
      <c r="A18" s="21">
        <v>9</v>
      </c>
      <c r="B18" s="58">
        <f>+'1. Portfolio Detail'!B10</f>
        <v>8.1065641175803922</v>
      </c>
      <c r="C18" s="36">
        <f>+'1. Portfolio Detail'!C10</f>
        <v>1.0114371015928644E-2</v>
      </c>
      <c r="D18" s="24">
        <f>+'1. Portfolio Detail'!D10</f>
        <v>0.21409737444550792</v>
      </c>
      <c r="E18" s="37">
        <f t="shared" si="1"/>
        <v>1.7554442593177254E-2</v>
      </c>
      <c r="F18" s="27">
        <f t="shared" si="2"/>
        <v>1.0012070514880787E-2</v>
      </c>
      <c r="G18" s="38">
        <f>+(D18-'2. Working sheet'!$C$5)^2</f>
        <v>5.4335393225514908E-2</v>
      </c>
      <c r="H18" s="30">
        <f t="shared" si="3"/>
        <v>0.25743906148708501</v>
      </c>
      <c r="I18" s="39">
        <f>+'1. Portfolio Detail'!E10</f>
        <v>0.13082756582216057</v>
      </c>
      <c r="J18" s="30">
        <f t="shared" si="0"/>
        <v>1.0605620506843139</v>
      </c>
      <c r="K18" s="6"/>
    </row>
    <row r="19" spans="1:11" x14ac:dyDescent="0.3">
      <c r="A19" s="21">
        <v>10</v>
      </c>
      <c r="B19" s="58">
        <f>+'1. Portfolio Detail'!B11</f>
        <v>6.7961997466100836</v>
      </c>
      <c r="C19" s="36">
        <f>+'1. Portfolio Detail'!C11</f>
        <v>3.9033389150312611E-2</v>
      </c>
      <c r="D19" s="24">
        <f>+'1. Portfolio Detail'!D11</f>
        <v>0.31568127025083792</v>
      </c>
      <c r="E19" s="37">
        <f t="shared" si="1"/>
        <v>8.37435199705273E-2</v>
      </c>
      <c r="F19" s="27">
        <f t="shared" si="2"/>
        <v>3.7509783681752867E-2</v>
      </c>
      <c r="G19" s="38">
        <f>+(D19-'2. Working sheet'!$C$5)^2</f>
        <v>1.7296363357464768E-2</v>
      </c>
      <c r="H19" s="30">
        <f t="shared" si="3"/>
        <v>0.45148258203094688</v>
      </c>
      <c r="I19" s="39">
        <f>+'1. Portfolio Detail'!E11</f>
        <v>0.12959774672169735</v>
      </c>
      <c r="J19" s="30">
        <f t="shared" si="0"/>
        <v>0.88077217343123737</v>
      </c>
      <c r="K19" s="6"/>
    </row>
    <row r="20" spans="1:11" x14ac:dyDescent="0.3">
      <c r="A20" s="21">
        <v>11</v>
      </c>
      <c r="B20" s="58">
        <f>+'1. Portfolio Detail'!B12</f>
        <v>8.3969892927697209</v>
      </c>
      <c r="C20" s="36">
        <f>+'1. Portfolio Detail'!C12</f>
        <v>2.767369423126026E-2</v>
      </c>
      <c r="D20" s="24">
        <f>+'1. Portfolio Detail'!D12</f>
        <v>0.44498065115823748</v>
      </c>
      <c r="E20" s="37">
        <f t="shared" si="1"/>
        <v>0.10340269659639507</v>
      </c>
      <c r="F20" s="27">
        <f t="shared" si="2"/>
        <v>2.690786087885497E-2</v>
      </c>
      <c r="G20" s="38">
        <f>+(D20-'2. Working sheet'!$C$5)^2</f>
        <v>4.9118008747968976E-6</v>
      </c>
      <c r="H20" s="30">
        <f t="shared" si="3"/>
        <v>0.61292855298758009</v>
      </c>
      <c r="I20" s="39">
        <f>+'1. Portfolio Detail'!E12</f>
        <v>0.10631616911340019</v>
      </c>
      <c r="J20" s="30">
        <f t="shared" si="0"/>
        <v>0.89273573369351633</v>
      </c>
      <c r="K20" s="6"/>
    </row>
    <row r="21" spans="1:11" x14ac:dyDescent="0.3">
      <c r="A21" s="21">
        <v>12</v>
      </c>
      <c r="B21" s="58">
        <f>+'1. Portfolio Detail'!B13</f>
        <v>8.5308127305734267</v>
      </c>
      <c r="C21" s="36">
        <f>+'1. Portfolio Detail'!C13</f>
        <v>4.9376226219418631E-2</v>
      </c>
      <c r="D21" s="24">
        <f>+'1. Portfolio Detail'!D13</f>
        <v>0.32100408780730172</v>
      </c>
      <c r="E21" s="37">
        <f t="shared" si="1"/>
        <v>0.13521312975320354</v>
      </c>
      <c r="F21" s="27">
        <f t="shared" si="2"/>
        <v>4.6938214503747425E-2</v>
      </c>
      <c r="G21" s="38">
        <f>+(D21-'2. Working sheet'!$C$5)^2</f>
        <v>1.5924628237504769E-2</v>
      </c>
      <c r="H21" s="30">
        <f t="shared" si="3"/>
        <v>0.63969616474945901</v>
      </c>
      <c r="I21" s="39">
        <f>+'1. Portfolio Detail'!E13</f>
        <v>0.13530221433811174</v>
      </c>
      <c r="J21" s="30">
        <f t="shared" si="0"/>
        <v>1.1542378525503381</v>
      </c>
      <c r="K21" s="6"/>
    </row>
    <row r="22" spans="1:11" x14ac:dyDescent="0.3">
      <c r="A22" s="21">
        <v>13</v>
      </c>
      <c r="B22" s="58">
        <f>+'1. Portfolio Detail'!B14</f>
        <v>9.4238857390804043</v>
      </c>
      <c r="C22" s="36">
        <f>+'1. Portfolio Detail'!C14</f>
        <v>1.1947323049418842E-2</v>
      </c>
      <c r="D22" s="24">
        <f>+'1. Portfolio Detail'!D14</f>
        <v>0.61231089109667203</v>
      </c>
      <c r="E22" s="37">
        <f t="shared" si="1"/>
        <v>6.8940210164053925E-2</v>
      </c>
      <c r="F22" s="27">
        <f t="shared" si="2"/>
        <v>1.1804584521371668E-2</v>
      </c>
      <c r="G22" s="38">
        <f>+(D22-'2. Working sheet'!$C$5)^2</f>
        <v>2.726262693082266E-2</v>
      </c>
      <c r="H22" s="30">
        <f t="shared" si="3"/>
        <v>0.64960211305721338</v>
      </c>
      <c r="I22" s="39">
        <f>+'1. Portfolio Detail'!E14</f>
        <v>0.11153450766439332</v>
      </c>
      <c r="J22" s="30">
        <f t="shared" si="0"/>
        <v>1.0510884561938303</v>
      </c>
      <c r="K22" s="6"/>
    </row>
    <row r="23" spans="1:11" x14ac:dyDescent="0.3">
      <c r="A23" s="21">
        <v>14</v>
      </c>
      <c r="B23" s="58">
        <f>+'1. Portfolio Detail'!B15</f>
        <v>5.8069208500142322</v>
      </c>
      <c r="C23" s="36">
        <f>+'1. Portfolio Detail'!C15</f>
        <v>3.7499439591030713E-2</v>
      </c>
      <c r="D23" s="24">
        <f>+'1. Portfolio Detail'!D15</f>
        <v>0.66422676411838821</v>
      </c>
      <c r="E23" s="37">
        <f t="shared" si="1"/>
        <v>0.14463954765332274</v>
      </c>
      <c r="F23" s="27">
        <f t="shared" si="2"/>
        <v>3.6093231621389353E-2</v>
      </c>
      <c r="G23" s="38">
        <f>+(D23-'2. Working sheet'!$C$5)^2</f>
        <v>4.7101957811604964E-2</v>
      </c>
      <c r="H23" s="30">
        <f t="shared" si="3"/>
        <v>0.77235386303103803</v>
      </c>
      <c r="I23" s="39">
        <f>+'1. Portfolio Detail'!E15</f>
        <v>0.11511567062925958</v>
      </c>
      <c r="J23" s="30">
        <f t="shared" si="0"/>
        <v>0.66846758794041838</v>
      </c>
      <c r="K23" s="6"/>
    </row>
    <row r="24" spans="1:11" x14ac:dyDescent="0.3">
      <c r="A24" s="21">
        <v>15</v>
      </c>
      <c r="B24" s="58">
        <f>+'1. Portfolio Detail'!B16</f>
        <v>1.6485775448739683</v>
      </c>
      <c r="C24" s="36">
        <f>+'1. Portfolio Detail'!C16</f>
        <v>1.1703109789367713E-2</v>
      </c>
      <c r="D24" s="24">
        <f>+'1. Portfolio Detail'!D16</f>
        <v>0.23878214999183223</v>
      </c>
      <c r="E24" s="37">
        <f t="shared" si="1"/>
        <v>4.6069395912953278E-3</v>
      </c>
      <c r="F24" s="27">
        <f t="shared" si="2"/>
        <v>1.1566147010625718E-2</v>
      </c>
      <c r="G24" s="38">
        <f>+(D24-'2. Working sheet'!$C$5)^2</f>
        <v>4.3436711965553369E-2</v>
      </c>
      <c r="H24" s="30">
        <f t="shared" si="3"/>
        <v>5.6337243328528241E-2</v>
      </c>
      <c r="I24" s="39">
        <f>+'1. Portfolio Detail'!E16</f>
        <v>0.11808511414556738</v>
      </c>
      <c r="J24" s="30">
        <f t="shared" si="0"/>
        <v>0.19467246756426179</v>
      </c>
      <c r="K24" s="6"/>
    </row>
    <row r="25" spans="1:11" x14ac:dyDescent="0.3">
      <c r="A25" s="21">
        <v>16</v>
      </c>
      <c r="B25" s="58">
        <f>+'1. Portfolio Detail'!B17</f>
        <v>4.1375055114533623</v>
      </c>
      <c r="C25" s="36">
        <f>+'1. Portfolio Detail'!C17</f>
        <v>2.1646145833825646E-2</v>
      </c>
      <c r="D25" s="24">
        <f>+'1. Portfolio Detail'!D17</f>
        <v>0.6081541029929991</v>
      </c>
      <c r="E25" s="37">
        <f t="shared" si="1"/>
        <v>5.4466918620524558E-2</v>
      </c>
      <c r="F25" s="27">
        <f t="shared" si="2"/>
        <v>2.1177590204366398E-2</v>
      </c>
      <c r="G25" s="38">
        <f>+(D25-'2. Working sheet'!$C$5)^2</f>
        <v>2.5907218148954227E-2</v>
      </c>
      <c r="H25" s="30">
        <f t="shared" si="3"/>
        <v>0.37905858036509793</v>
      </c>
      <c r="I25" s="39">
        <f>+'1. Portfolio Detail'!E17</f>
        <v>0.10661531317065576</v>
      </c>
      <c r="J25" s="30">
        <f t="shared" si="0"/>
        <v>0.44112144584891444</v>
      </c>
      <c r="K25" s="6"/>
    </row>
    <row r="26" spans="1:11" x14ac:dyDescent="0.3">
      <c r="A26" s="21">
        <v>17</v>
      </c>
      <c r="B26" s="58">
        <f>+'1. Portfolio Detail'!B18</f>
        <v>5.5516267326831725</v>
      </c>
      <c r="C26" s="36">
        <f>+'1. Portfolio Detail'!C18</f>
        <v>5.1647988402246367E-2</v>
      </c>
      <c r="D26" s="24">
        <f>+'1. Portfolio Detail'!D18</f>
        <v>0.32507606539887124</v>
      </c>
      <c r="E26" s="37">
        <f t="shared" si="1"/>
        <v>9.3209175017224227E-2</v>
      </c>
      <c r="F26" s="27">
        <f t="shared" si="2"/>
        <v>4.8980473696247792E-2</v>
      </c>
      <c r="G26" s="38">
        <f>+(D26-'2. Working sheet'!$C$5)^2</f>
        <v>1.4913500555010636E-2</v>
      </c>
      <c r="H26" s="30">
        <f t="shared" si="3"/>
        <v>0.42809618728950732</v>
      </c>
      <c r="I26" s="39">
        <f>+'1. Portfolio Detail'!E18</f>
        <v>0.13411748473133245</v>
      </c>
      <c r="J26" s="30">
        <f t="shared" si="0"/>
        <v>0.74457021355469244</v>
      </c>
      <c r="K26" s="6"/>
    </row>
    <row r="27" spans="1:11" x14ac:dyDescent="0.3">
      <c r="A27" s="21">
        <v>18</v>
      </c>
      <c r="B27" s="58">
        <f>+'1. Portfolio Detail'!B19</f>
        <v>10.810350799618719</v>
      </c>
      <c r="C27" s="36">
        <f>+'1. Portfolio Detail'!C19</f>
        <v>2.2563764262680433E-2</v>
      </c>
      <c r="D27" s="24">
        <f>+'1. Portfolio Detail'!D19</f>
        <v>0.57995192638740534</v>
      </c>
      <c r="E27" s="37">
        <f t="shared" si="1"/>
        <v>0.14146315386121144</v>
      </c>
      <c r="F27" s="27">
        <f t="shared" si="2"/>
        <v>2.2054640804978619E-2</v>
      </c>
      <c r="G27" s="38">
        <f>+(D27-'2. Working sheet'!$C$5)^2</f>
        <v>1.7623894518517199E-2</v>
      </c>
      <c r="H27" s="30">
        <f t="shared" si="3"/>
        <v>0.95569937739572486</v>
      </c>
      <c r="I27" s="39">
        <f>+'1. Portfolio Detail'!E19</f>
        <v>0.13114761854443777</v>
      </c>
      <c r="J27" s="30">
        <f t="shared" si="0"/>
        <v>1.4177517629999536</v>
      </c>
      <c r="K27" s="6"/>
    </row>
    <row r="28" spans="1:11" x14ac:dyDescent="0.3">
      <c r="A28" s="21">
        <v>19</v>
      </c>
      <c r="B28" s="58">
        <f>+'1. Portfolio Detail'!B20</f>
        <v>2.4392990203854126</v>
      </c>
      <c r="C28" s="36">
        <f>+'1. Portfolio Detail'!C20</f>
        <v>5.1540412703311021E-2</v>
      </c>
      <c r="D28" s="24">
        <f>+'1. Portfolio Detail'!D20</f>
        <v>0.56663508816453678</v>
      </c>
      <c r="E28" s="37">
        <f t="shared" si="1"/>
        <v>7.1238767529006819E-2</v>
      </c>
      <c r="F28" s="27">
        <f t="shared" si="2"/>
        <v>4.8883998561683399E-2</v>
      </c>
      <c r="G28" s="38">
        <f>+(D28-'2. Working sheet'!$C$5)^2</f>
        <v>1.4265478531466506E-2</v>
      </c>
      <c r="H28" s="30">
        <f t="shared" si="3"/>
        <v>0.31267488510037117</v>
      </c>
      <c r="I28" s="39">
        <f>+'1. Portfolio Detail'!E20</f>
        <v>0.12640377877847594</v>
      </c>
      <c r="J28" s="30">
        <f t="shared" si="0"/>
        <v>0.30833661374735077</v>
      </c>
      <c r="K28" s="6"/>
    </row>
    <row r="29" spans="1:11" x14ac:dyDescent="0.3">
      <c r="A29" s="21">
        <v>20</v>
      </c>
      <c r="B29" s="58">
        <f>+'1. Portfolio Detail'!B21</f>
        <v>2.0337630665658049</v>
      </c>
      <c r="C29" s="36">
        <f>+'1. Portfolio Detail'!C21</f>
        <v>4.33881166579283E-2</v>
      </c>
      <c r="D29" s="24">
        <f>+'1. Portfolio Detail'!D21</f>
        <v>0.41513870386821605</v>
      </c>
      <c r="E29" s="37">
        <f t="shared" si="1"/>
        <v>3.6632316301226431E-2</v>
      </c>
      <c r="F29" s="27">
        <f t="shared" si="2"/>
        <v>4.1505587990806302E-2</v>
      </c>
      <c r="G29" s="38">
        <f>+(D29-'2. Working sheet'!$C$5)^2</f>
        <v>1.027728545977226E-3</v>
      </c>
      <c r="H29" s="30">
        <f t="shared" si="3"/>
        <v>0.17254259588466486</v>
      </c>
      <c r="I29" s="39">
        <f>+'1. Portfolio Detail'!E21</f>
        <v>0.13166906135162915</v>
      </c>
      <c r="J29" s="30">
        <f t="shared" si="0"/>
        <v>0.26778367398633041</v>
      </c>
      <c r="K29" s="6"/>
    </row>
    <row r="30" spans="1:11" x14ac:dyDescent="0.3">
      <c r="A30" s="21">
        <v>21</v>
      </c>
      <c r="B30" s="58">
        <f>+'1. Portfolio Detail'!B22</f>
        <v>7.6040831374540989</v>
      </c>
      <c r="C30" s="36">
        <f>+'1. Portfolio Detail'!C22</f>
        <v>3.1561189455238316E-2</v>
      </c>
      <c r="D30" s="24">
        <f>+'1. Portfolio Detail'!D22</f>
        <v>0.30486747389021596</v>
      </c>
      <c r="E30" s="37">
        <f t="shared" si="1"/>
        <v>7.3166336643974442E-2</v>
      </c>
      <c r="F30" s="27">
        <f t="shared" si="2"/>
        <v>3.056508077540887E-2</v>
      </c>
      <c r="G30" s="38">
        <f>+(D30-'2. Working sheet'!$C$5)^2</f>
        <v>2.0257668230555144E-2</v>
      </c>
      <c r="H30" s="30">
        <f t="shared" si="3"/>
        <v>0.44858950187756919</v>
      </c>
      <c r="I30" s="39">
        <f>+'1. Portfolio Detail'!E22</f>
        <v>0.1228330485075699</v>
      </c>
      <c r="J30" s="30">
        <f t="shared" si="0"/>
        <v>0.93403271287849365</v>
      </c>
      <c r="K30" s="6"/>
    </row>
    <row r="31" spans="1:11" x14ac:dyDescent="0.3">
      <c r="A31" s="21">
        <v>22</v>
      </c>
      <c r="B31" s="58">
        <f>+'1. Portfolio Detail'!B23</f>
        <v>1.2042242395827631</v>
      </c>
      <c r="C31" s="36">
        <f>+'1. Portfolio Detail'!C23</f>
        <v>3.4485471405317374E-2</v>
      </c>
      <c r="D31" s="24">
        <f>+'1. Portfolio Detail'!D23</f>
        <v>0.403886053990132</v>
      </c>
      <c r="E31" s="37">
        <f t="shared" si="1"/>
        <v>1.6772677216896563E-2</v>
      </c>
      <c r="F31" s="27">
        <f t="shared" si="2"/>
        <v>3.3296223667270412E-2</v>
      </c>
      <c r="G31" s="38">
        <f>+(D31-'2. Working sheet'!$C$5)^2</f>
        <v>1.8758302018183955E-3</v>
      </c>
      <c r="H31" s="30">
        <f t="shared" si="3"/>
        <v>8.9275992497176659E-2</v>
      </c>
      <c r="I31" s="39">
        <f>+'1. Portfolio Detail'!E23</f>
        <v>0.12230930393251914</v>
      </c>
      <c r="J31" s="30">
        <f t="shared" si="0"/>
        <v>0.14728782852203492</v>
      </c>
      <c r="K31" s="6"/>
    </row>
    <row r="32" spans="1:11" x14ac:dyDescent="0.3">
      <c r="A32" s="21">
        <v>23</v>
      </c>
      <c r="B32" s="58">
        <f>+'1. Portfolio Detail'!B24</f>
        <v>1.9040274624121991</v>
      </c>
      <c r="C32" s="36">
        <f>+'1. Portfolio Detail'!C24</f>
        <v>5.1173143042301278E-2</v>
      </c>
      <c r="D32" s="24">
        <f>+'1. Portfolio Detail'!D24</f>
        <v>0.45547307616928723</v>
      </c>
      <c r="E32" s="37">
        <f t="shared" si="1"/>
        <v>4.4379050918696081E-2</v>
      </c>
      <c r="F32" s="27">
        <f t="shared" si="2"/>
        <v>4.8554452473473453E-2</v>
      </c>
      <c r="G32" s="38">
        <f>+(D32-'2. Working sheet'!$C$5)^2</f>
        <v>6.8494935345148378E-5</v>
      </c>
      <c r="H32" s="30">
        <f t="shared" si="3"/>
        <v>0.19112874015039283</v>
      </c>
      <c r="I32" s="39">
        <f>+'1. Portfolio Detail'!E24</f>
        <v>0.13041365348042736</v>
      </c>
      <c r="J32" s="30">
        <f t="shared" si="0"/>
        <v>0.24831117770024197</v>
      </c>
      <c r="K32" s="6"/>
    </row>
    <row r="33" spans="1:11" x14ac:dyDescent="0.3">
      <c r="A33" s="21">
        <v>24</v>
      </c>
      <c r="B33" s="58">
        <f>+'1. Portfolio Detail'!B25</f>
        <v>4.7082329484135581</v>
      </c>
      <c r="C33" s="36">
        <f>+'1. Portfolio Detail'!C25</f>
        <v>5.0923398407887212E-2</v>
      </c>
      <c r="D33" s="24">
        <f>+'1. Portfolio Detail'!D25</f>
        <v>0.23046413256599207</v>
      </c>
      <c r="E33" s="37">
        <f t="shared" si="1"/>
        <v>5.5255901175750674E-2</v>
      </c>
      <c r="F33" s="27">
        <f t="shared" si="2"/>
        <v>4.8330205902478801E-2</v>
      </c>
      <c r="G33" s="38">
        <f>+(D33-'2. Working sheet'!$C$5)^2</f>
        <v>4.6973096581621999E-2</v>
      </c>
      <c r="H33" s="30">
        <f t="shared" si="3"/>
        <v>0.3315554411050271</v>
      </c>
      <c r="I33" s="39">
        <f>+'1. Portfolio Detail'!E25</f>
        <v>0.11107683341940311</v>
      </c>
      <c r="J33" s="30">
        <f t="shared" si="0"/>
        <v>0.5229756069106779</v>
      </c>
      <c r="K33" s="6"/>
    </row>
    <row r="34" spans="1:11" x14ac:dyDescent="0.3">
      <c r="A34" s="21">
        <v>25</v>
      </c>
      <c r="B34" s="58">
        <f>+'1. Portfolio Detail'!B26</f>
        <v>7.6602214236586637</v>
      </c>
      <c r="C34" s="36">
        <f>+'1. Portfolio Detail'!C26</f>
        <v>1.0333077966292938E-2</v>
      </c>
      <c r="D34" s="24">
        <f>+'1. Portfolio Detail'!D26</f>
        <v>0.49094368618115669</v>
      </c>
      <c r="E34" s="37">
        <f t="shared" si="1"/>
        <v>3.885999217281523E-2</v>
      </c>
      <c r="F34" s="27">
        <f t="shared" si="2"/>
        <v>1.022630546603545E-2</v>
      </c>
      <c r="G34" s="38">
        <f>+(D34-'2. Working sheet'!$C$5)^2</f>
        <v>1.913780473201252E-3</v>
      </c>
      <c r="H34" s="30">
        <f t="shared" si="3"/>
        <v>0.38182786177936234</v>
      </c>
      <c r="I34" s="39">
        <f>+'1. Portfolio Detail'!E26</f>
        <v>0.12617227938457928</v>
      </c>
      <c r="J34" s="30">
        <f t="shared" si="0"/>
        <v>0.96650759761360061</v>
      </c>
      <c r="K34" s="6"/>
    </row>
    <row r="35" spans="1:11" x14ac:dyDescent="0.3">
      <c r="A35" s="21">
        <v>26</v>
      </c>
      <c r="B35" s="58">
        <f>+'1. Portfolio Detail'!B27</f>
        <v>1.4027930630655707</v>
      </c>
      <c r="C35" s="36">
        <f>+'1. Portfolio Detail'!C27</f>
        <v>5.5289399739773384E-2</v>
      </c>
      <c r="D35" s="24">
        <f>+'1. Portfolio Detail'!D27</f>
        <v>0.25692441508306896</v>
      </c>
      <c r="E35" s="37">
        <f t="shared" si="1"/>
        <v>1.9926951374019002E-2</v>
      </c>
      <c r="F35" s="27">
        <f t="shared" si="2"/>
        <v>5.2232482016188929E-2</v>
      </c>
      <c r="G35" s="38">
        <f>+(D35-'2. Working sheet'!$C$5)^2</f>
        <v>3.6203622117678344E-2</v>
      </c>
      <c r="H35" s="30">
        <f t="shared" si="3"/>
        <v>0.10355568867330427</v>
      </c>
      <c r="I35" s="39">
        <f>+'1. Portfolio Detail'!E27</f>
        <v>0.10857832731223976</v>
      </c>
      <c r="J35" s="30">
        <f t="shared" si="0"/>
        <v>0.15231292435287294</v>
      </c>
      <c r="K35" s="6"/>
    </row>
    <row r="36" spans="1:11" x14ac:dyDescent="0.3">
      <c r="A36" s="21">
        <v>27</v>
      </c>
      <c r="B36" s="58">
        <f>+'1. Portfolio Detail'!B28</f>
        <v>8.5456788881981609</v>
      </c>
      <c r="C36" s="36">
        <f>+'1. Portfolio Detail'!C28</f>
        <v>1.3568750867256852E-2</v>
      </c>
      <c r="D36" s="24">
        <f>+'1. Portfolio Detail'!D28</f>
        <v>0.6633103429721009</v>
      </c>
      <c r="E36" s="37">
        <f t="shared" si="1"/>
        <v>7.6913612095608597E-2</v>
      </c>
      <c r="F36" s="27">
        <f t="shared" si="2"/>
        <v>1.3384639867159169E-2</v>
      </c>
      <c r="G36" s="38">
        <f>+(D36-'2. Working sheet'!$C$5)^2</f>
        <v>4.6705016142959167E-2</v>
      </c>
      <c r="H36" s="30">
        <f t="shared" si="3"/>
        <v>0.6901772345986783</v>
      </c>
      <c r="I36" s="39">
        <f>+'1. Portfolio Detail'!E28</f>
        <v>0.13792462494892924</v>
      </c>
      <c r="J36" s="30">
        <f t="shared" si="0"/>
        <v>1.1786595555887138</v>
      </c>
      <c r="K36" s="6"/>
    </row>
    <row r="37" spans="1:11" x14ac:dyDescent="0.3">
      <c r="A37" s="21">
        <v>28</v>
      </c>
      <c r="B37" s="58">
        <f>+'1. Portfolio Detail'!B29</f>
        <v>3.8464858734122203</v>
      </c>
      <c r="C37" s="36">
        <f>+'1. Portfolio Detail'!C29</f>
        <v>2.5097972684428302E-2</v>
      </c>
      <c r="D37" s="24">
        <f>+'1. Portfolio Detail'!D29</f>
        <v>0.24368356601692198</v>
      </c>
      <c r="E37" s="37">
        <f t="shared" si="1"/>
        <v>2.3524967141729251E-2</v>
      </c>
      <c r="F37" s="27">
        <f t="shared" si="2"/>
        <v>2.4468064451559995E-2</v>
      </c>
      <c r="G37" s="38">
        <f>+(D37-'2. Working sheet'!$C$5)^2</f>
        <v>4.1417680960726934E-2</v>
      </c>
      <c r="H37" s="30">
        <f t="shared" si="3"/>
        <v>0.19203384188612624</v>
      </c>
      <c r="I37" s="39">
        <f>+'1. Portfolio Detail'!E29</f>
        <v>0.10762410425801257</v>
      </c>
      <c r="J37" s="30">
        <f t="shared" si="0"/>
        <v>0.4139745966670893</v>
      </c>
      <c r="K37" s="6"/>
    </row>
    <row r="38" spans="1:11" x14ac:dyDescent="0.3">
      <c r="A38" s="21">
        <v>29</v>
      </c>
      <c r="B38" s="58">
        <f>+'1. Portfolio Detail'!B30</f>
        <v>8.1231984726683866</v>
      </c>
      <c r="C38" s="36">
        <f>+'1. Portfolio Detail'!C30</f>
        <v>5.2469387805803167E-2</v>
      </c>
      <c r="D38" s="24">
        <f>+'1. Portfolio Detail'!D30</f>
        <v>0.56505132067971264</v>
      </c>
      <c r="E38" s="37">
        <f t="shared" si="1"/>
        <v>0.24083575061222132</v>
      </c>
      <c r="F38" s="27">
        <f t="shared" si="2"/>
        <v>4.9716351149087401E-2</v>
      </c>
      <c r="G38" s="38">
        <f>+(D38-'2. Working sheet'!$C$5)^2</f>
        <v>1.3889662243165252E-2</v>
      </c>
      <c r="H38" s="30">
        <f t="shared" si="3"/>
        <v>1.0466755439007351</v>
      </c>
      <c r="I38" s="39">
        <f>+'1. Portfolio Detail'!E30</f>
        <v>0.10164171729242658</v>
      </c>
      <c r="J38" s="30">
        <f t="shared" si="0"/>
        <v>0.82565584266923153</v>
      </c>
      <c r="K38" s="6"/>
    </row>
    <row r="39" spans="1:11" x14ac:dyDescent="0.3">
      <c r="A39" s="21">
        <v>30</v>
      </c>
      <c r="B39" s="58">
        <f>+'1. Portfolio Detail'!B31</f>
        <v>4.6802302020514697</v>
      </c>
      <c r="C39" s="36">
        <f>+'1. Portfolio Detail'!C31</f>
        <v>5.6651472614051054E-2</v>
      </c>
      <c r="D39" s="24">
        <f>+'1. Portfolio Detail'!D31</f>
        <v>0.4722905932909065</v>
      </c>
      <c r="E39" s="37">
        <f t="shared" si="1"/>
        <v>0.12522404089905784</v>
      </c>
      <c r="F39" s="27">
        <f t="shared" si="2"/>
        <v>5.3442083264710477E-2</v>
      </c>
      <c r="G39" s="38">
        <f>+(D39-'2. Working sheet'!$C$5)^2</f>
        <v>6.2969296803944618E-4</v>
      </c>
      <c r="H39" s="30">
        <f t="shared" si="3"/>
        <v>0.51176083798657701</v>
      </c>
      <c r="I39" s="39">
        <f>+'1. Portfolio Detail'!E31</f>
        <v>0.1045533625918828</v>
      </c>
      <c r="J39" s="30">
        <f t="shared" si="0"/>
        <v>0.48933380532856824</v>
      </c>
      <c r="K39" s="6"/>
    </row>
    <row r="40" spans="1:11" x14ac:dyDescent="0.3">
      <c r="A40" s="21">
        <v>31</v>
      </c>
      <c r="B40" s="58">
        <f>+'1. Portfolio Detail'!B32</f>
        <v>10.869400565290459</v>
      </c>
      <c r="C40" s="36">
        <f>+'1. Portfolio Detail'!C32</f>
        <v>3.0565378751610764E-2</v>
      </c>
      <c r="D40" s="24">
        <f>+'1. Portfolio Detail'!D32</f>
        <v>0.63461637672113402</v>
      </c>
      <c r="E40" s="37">
        <f t="shared" si="1"/>
        <v>0.21083691398303367</v>
      </c>
      <c r="F40" s="27">
        <f t="shared" si="2"/>
        <v>2.9631136373381346E-2</v>
      </c>
      <c r="G40" s="38">
        <f>+(D40-'2. Working sheet'!$C$5)^2</f>
        <v>3.512605670720708E-2</v>
      </c>
      <c r="H40" s="30">
        <f t="shared" si="3"/>
        <v>1.2396466388784804</v>
      </c>
      <c r="I40" s="39">
        <f>+'1. Portfolio Detail'!E32</f>
        <v>0.11643396080613838</v>
      </c>
      <c r="J40" s="30">
        <f t="shared" si="0"/>
        <v>1.2655673594052477</v>
      </c>
      <c r="K40" s="6"/>
    </row>
    <row r="41" spans="1:11" x14ac:dyDescent="0.3">
      <c r="A41" s="21">
        <v>32</v>
      </c>
      <c r="B41" s="58">
        <f>+'1. Portfolio Detail'!B33</f>
        <v>3.9146664010255066</v>
      </c>
      <c r="C41" s="36">
        <f>+'1. Portfolio Detail'!C33</f>
        <v>5.3612601656484307E-2</v>
      </c>
      <c r="D41" s="24">
        <f>+'1. Portfolio Detail'!D33</f>
        <v>0.26427613870425681</v>
      </c>
      <c r="E41" s="37">
        <f t="shared" si="1"/>
        <v>5.5465073634239935E-2</v>
      </c>
      <c r="F41" s="27">
        <f t="shared" si="2"/>
        <v>5.0738290600107441E-2</v>
      </c>
      <c r="G41" s="38">
        <f>+(D41-'2. Working sheet'!$C$5)^2</f>
        <v>3.3460008375085594E-2</v>
      </c>
      <c r="H41" s="30">
        <f t="shared" si="3"/>
        <v>0.2859994182699927</v>
      </c>
      <c r="I41" s="39">
        <f>+'1. Portfolio Detail'!E33</f>
        <v>0.13167972715536744</v>
      </c>
      <c r="J41" s="30">
        <f t="shared" si="0"/>
        <v>0.51548220359132291</v>
      </c>
      <c r="K41" s="6"/>
    </row>
    <row r="42" spans="1:11" x14ac:dyDescent="0.3">
      <c r="A42" s="21">
        <v>33</v>
      </c>
      <c r="B42" s="58">
        <f>+'1. Portfolio Detail'!B34</f>
        <v>4.5075024080426545</v>
      </c>
      <c r="C42" s="36">
        <f>+'1. Portfolio Detail'!C34</f>
        <v>1.2662826088776969E-2</v>
      </c>
      <c r="D42" s="24">
        <f>+'1. Portfolio Detail'!D34</f>
        <v>0.62262389971490506</v>
      </c>
      <c r="E42" s="37">
        <f t="shared" si="1"/>
        <v>3.5537952045270146E-2</v>
      </c>
      <c r="F42" s="27">
        <f t="shared" si="2"/>
        <v>1.2502478924222358E-2</v>
      </c>
      <c r="G42" s="38">
        <f>+(D42-'2. Working sheet'!$C$5)^2</f>
        <v>3.0774628908733705E-2</v>
      </c>
      <c r="H42" s="30">
        <f t="shared" si="3"/>
        <v>0.32617663009435038</v>
      </c>
      <c r="I42" s="39">
        <f>+'1. Portfolio Detail'!E34</f>
        <v>0.12924134718435398</v>
      </c>
      <c r="J42" s="30">
        <f t="shared" ref="J42:J73" si="4">+I42*B42</f>
        <v>0.58255568365215227</v>
      </c>
      <c r="K42" s="6"/>
    </row>
    <row r="43" spans="1:11" x14ac:dyDescent="0.3">
      <c r="A43" s="21">
        <v>34</v>
      </c>
      <c r="B43" s="58">
        <f>+'1. Portfolio Detail'!B35</f>
        <v>5.9805708989118322</v>
      </c>
      <c r="C43" s="36">
        <f>+'1. Portfolio Detail'!C35</f>
        <v>1.0169743635614443E-2</v>
      </c>
      <c r="D43" s="24">
        <f>+'1. Portfolio Detail'!D35</f>
        <v>0.68983689975407003</v>
      </c>
      <c r="E43" s="37">
        <f t="shared" si="1"/>
        <v>4.1956482357901878E-2</v>
      </c>
      <c r="F43" s="27">
        <f t="shared" si="2"/>
        <v>1.0066319950000324E-2</v>
      </c>
      <c r="G43" s="38">
        <f>+(D43-'2. Working sheet'!$C$5)^2</f>
        <v>5.887416488830078E-2</v>
      </c>
      <c r="H43" s="30">
        <f t="shared" si="3"/>
        <v>0.43903438379911119</v>
      </c>
      <c r="I43" s="39">
        <f>+'1. Portfolio Detail'!E35</f>
        <v>0.13468678970889267</v>
      </c>
      <c r="J43" s="30">
        <f t="shared" si="4"/>
        <v>0.80550389500086117</v>
      </c>
      <c r="K43" s="6"/>
    </row>
    <row r="44" spans="1:11" x14ac:dyDescent="0.3">
      <c r="A44" s="21">
        <v>35</v>
      </c>
      <c r="B44" s="58">
        <f>+'1. Portfolio Detail'!B36</f>
        <v>7.1054239339434009</v>
      </c>
      <c r="C44" s="36">
        <f>+'1. Portfolio Detail'!C36</f>
        <v>3.0055523740202525E-2</v>
      </c>
      <c r="D44" s="24">
        <f>+'1. Portfolio Detail'!D36</f>
        <v>0.5300793531943534</v>
      </c>
      <c r="E44" s="37">
        <f t="shared" si="1"/>
        <v>0.11320228244633596</v>
      </c>
      <c r="F44" s="27">
        <f t="shared" si="2"/>
        <v>2.9152189232904649E-2</v>
      </c>
      <c r="G44" s="38">
        <f>+(D44-'2. Working sheet'!$C$5)^2</f>
        <v>6.8694994788297999E-3</v>
      </c>
      <c r="H44" s="30">
        <f t="shared" si="3"/>
        <v>0.65113636075895409</v>
      </c>
      <c r="I44" s="39">
        <f>+'1. Portfolio Detail'!E36</f>
        <v>0.13361619331255495</v>
      </c>
      <c r="J44" s="30">
        <f t="shared" si="4"/>
        <v>0.9493996979254361</v>
      </c>
      <c r="K44" s="6"/>
    </row>
    <row r="45" spans="1:11" x14ac:dyDescent="0.3">
      <c r="A45" s="21">
        <v>36</v>
      </c>
      <c r="B45" s="58">
        <f>+'1. Portfolio Detail'!B37</f>
        <v>9.300905112553421</v>
      </c>
      <c r="C45" s="36">
        <f>+'1. Portfolio Detail'!C37</f>
        <v>4.8454472836271259E-2</v>
      </c>
      <c r="D45" s="24">
        <f>+'1. Portfolio Detail'!D37</f>
        <v>0.59785757576352738</v>
      </c>
      <c r="E45" s="37">
        <f t="shared" si="1"/>
        <v>0.26943674517378574</v>
      </c>
      <c r="F45" s="27">
        <f t="shared" si="2"/>
        <v>4.6106636898430309E-2</v>
      </c>
      <c r="G45" s="38">
        <f>+(D45-'2. Working sheet'!$C$5)^2</f>
        <v>2.2698636370025865E-2</v>
      </c>
      <c r="H45" s="30">
        <f t="shared" si="3"/>
        <v>1.2332002501026864</v>
      </c>
      <c r="I45" s="39">
        <f>+'1. Portfolio Detail'!E37</f>
        <v>0.12058224480445412</v>
      </c>
      <c r="J45" s="30">
        <f t="shared" si="4"/>
        <v>1.1215240171849155</v>
      </c>
      <c r="K45" s="6"/>
    </row>
    <row r="46" spans="1:11" x14ac:dyDescent="0.3">
      <c r="A46" s="21">
        <v>37</v>
      </c>
      <c r="B46" s="58">
        <f>+'1. Portfolio Detail'!B38</f>
        <v>2.3490249279405497</v>
      </c>
      <c r="C46" s="36">
        <f>+'1. Portfolio Detail'!C38</f>
        <v>5.1910534861334505E-2</v>
      </c>
      <c r="D46" s="24">
        <f>+'1. Portfolio Detail'!D38</f>
        <v>0.23975885554750409</v>
      </c>
      <c r="E46" s="37">
        <f t="shared" si="1"/>
        <v>2.9235988751627931E-2</v>
      </c>
      <c r="F46" s="27">
        <f t="shared" si="2"/>
        <v>4.9215831231744681E-2</v>
      </c>
      <c r="G46" s="38">
        <f>+(D46-'2. Working sheet'!$C$5)^2</f>
        <v>4.3030546212376238E-2</v>
      </c>
      <c r="H46" s="30">
        <f t="shared" si="3"/>
        <v>0.16714227202895535</v>
      </c>
      <c r="I46" s="39">
        <f>+'1. Portfolio Detail'!E38</f>
        <v>0.13844756624017682</v>
      </c>
      <c r="J46" s="30">
        <f t="shared" si="4"/>
        <v>0.32521678431087581</v>
      </c>
      <c r="K46" s="6"/>
    </row>
    <row r="47" spans="1:11" x14ac:dyDescent="0.3">
      <c r="A47" s="21">
        <v>38</v>
      </c>
      <c r="B47" s="58">
        <f>+'1. Portfolio Detail'!B39</f>
        <v>8.7384925209793689</v>
      </c>
      <c r="C47" s="36">
        <f>+'1. Portfolio Detail'!C39</f>
        <v>5.3613842072692874E-2</v>
      </c>
      <c r="D47" s="24">
        <f>+'1. Portfolio Detail'!D39</f>
        <v>0.59498578725052254</v>
      </c>
      <c r="E47" s="37">
        <f t="shared" si="1"/>
        <v>0.27875331526182501</v>
      </c>
      <c r="F47" s="27">
        <f t="shared" si="2"/>
        <v>5.0739398010897226E-2</v>
      </c>
      <c r="G47" s="38">
        <f>+(D47-'2. Working sheet'!$C$5)^2</f>
        <v>2.1841552397604044E-2</v>
      </c>
      <c r="H47" s="30">
        <f t="shared" si="3"/>
        <v>1.2087317983303956</v>
      </c>
      <c r="I47" s="39">
        <f>+'1. Portfolio Detail'!E39</f>
        <v>0.11327921799175336</v>
      </c>
      <c r="J47" s="30">
        <f t="shared" si="4"/>
        <v>0.98988959920332831</v>
      </c>
      <c r="K47" s="6"/>
    </row>
    <row r="48" spans="1:11" x14ac:dyDescent="0.3">
      <c r="A48" s="21">
        <v>39</v>
      </c>
      <c r="B48" s="58">
        <f>+'1. Portfolio Detail'!B40</f>
        <v>9.8772310935891028</v>
      </c>
      <c r="C48" s="36">
        <f>+'1. Portfolio Detail'!C40</f>
        <v>3.2505942566761169E-2</v>
      </c>
      <c r="D48" s="24">
        <f>+'1. Portfolio Detail'!D40</f>
        <v>0.60117178113189695</v>
      </c>
      <c r="E48" s="37">
        <f t="shared" si="1"/>
        <v>0.19301744624059233</v>
      </c>
      <c r="F48" s="27">
        <f t="shared" si="2"/>
        <v>3.1449306264607589E-2</v>
      </c>
      <c r="G48" s="38">
        <f>+(D48-'2. Working sheet'!$C$5)^2</f>
        <v>2.3708261105358237E-2</v>
      </c>
      <c r="H48" s="30">
        <f t="shared" si="3"/>
        <v>1.0881407473396634</v>
      </c>
      <c r="I48" s="39">
        <f>+'1. Portfolio Detail'!E40</f>
        <v>0.13051528551717331</v>
      </c>
      <c r="J48" s="30">
        <f t="shared" si="4"/>
        <v>1.2891296362988838</v>
      </c>
      <c r="K48" s="6"/>
    </row>
    <row r="49" spans="1:11" x14ac:dyDescent="0.3">
      <c r="A49" s="21">
        <v>40</v>
      </c>
      <c r="B49" s="58">
        <f>+'1. Portfolio Detail'!B41</f>
        <v>9.3966024763096989</v>
      </c>
      <c r="C49" s="36">
        <f>+'1. Portfolio Detail'!C41</f>
        <v>4.3424758897292831E-2</v>
      </c>
      <c r="D49" s="24">
        <f>+'1. Portfolio Detail'!D41</f>
        <v>0.64678015251833931</v>
      </c>
      <c r="E49" s="37">
        <f t="shared" si="1"/>
        <v>0.26391553474192098</v>
      </c>
      <c r="F49" s="27">
        <f t="shared" si="2"/>
        <v>4.1539049212004818E-2</v>
      </c>
      <c r="G49" s="38">
        <f>+(D49-'2. Working sheet'!$C$5)^2</f>
        <v>3.983347090836345E-2</v>
      </c>
      <c r="H49" s="30">
        <f t="shared" si="3"/>
        <v>1.2988594140296401</v>
      </c>
      <c r="I49" s="39">
        <f>+'1. Portfolio Detail'!E41</f>
        <v>0.10584484207039921</v>
      </c>
      <c r="J49" s="30">
        <f t="shared" si="4"/>
        <v>0.99458190510332223</v>
      </c>
      <c r="K49" s="6"/>
    </row>
    <row r="50" spans="1:11" x14ac:dyDescent="0.3">
      <c r="A50" s="21">
        <v>41</v>
      </c>
      <c r="B50" s="58">
        <f>+'1. Portfolio Detail'!B42</f>
        <v>8.6976848888820086</v>
      </c>
      <c r="C50" s="36">
        <f>+'1. Portfolio Detail'!C42</f>
        <v>4.7348815314400321E-2</v>
      </c>
      <c r="D50" s="24">
        <f>+'1. Portfolio Detail'!D42</f>
        <v>0.29802319506158736</v>
      </c>
      <c r="E50" s="37">
        <f t="shared" si="1"/>
        <v>0.12273342479701302</v>
      </c>
      <c r="F50" s="27">
        <f t="shared" si="2"/>
        <v>4.510690500272313E-2</v>
      </c>
      <c r="G50" s="38">
        <f>+(D50-'2. Working sheet'!$C$5)^2</f>
        <v>2.2252797068406306E-2</v>
      </c>
      <c r="H50" s="30">
        <f t="shared" si="3"/>
        <v>0.61869468585403009</v>
      </c>
      <c r="I50" s="39">
        <f>+'1. Portfolio Detail'!E42</f>
        <v>0.11377772708864226</v>
      </c>
      <c r="J50" s="30">
        <f t="shared" si="4"/>
        <v>0.98960281759022495</v>
      </c>
      <c r="K50" s="6"/>
    </row>
    <row r="51" spans="1:11" x14ac:dyDescent="0.3">
      <c r="A51" s="21">
        <v>42</v>
      </c>
      <c r="B51" s="58">
        <f>+'1. Portfolio Detail'!B43</f>
        <v>8.9204542415548627</v>
      </c>
      <c r="C51" s="36">
        <f>+'1. Portfolio Detail'!C43</f>
        <v>1.3674280994419225E-2</v>
      </c>
      <c r="D51" s="24">
        <f>+'1. Portfolio Detail'!D43</f>
        <v>0.27041723174687338</v>
      </c>
      <c r="E51" s="37">
        <f t="shared" si="1"/>
        <v>3.298570969354913E-2</v>
      </c>
      <c r="F51" s="27">
        <f t="shared" si="2"/>
        <v>1.3487295033704889E-2</v>
      </c>
      <c r="G51" s="38">
        <f>+(D51-'2. Working sheet'!$C$5)^2</f>
        <v>3.1251054453526723E-2</v>
      </c>
      <c r="H51" s="30">
        <f t="shared" si="3"/>
        <v>0.33539017194792736</v>
      </c>
      <c r="I51" s="39">
        <f>+'1. Portfolio Detail'!E43</f>
        <v>0.11012062410619328</v>
      </c>
      <c r="J51" s="30">
        <f t="shared" si="4"/>
        <v>0.98232598839076046</v>
      </c>
      <c r="K51" s="6"/>
    </row>
    <row r="52" spans="1:11" x14ac:dyDescent="0.3">
      <c r="A52" s="21">
        <v>43</v>
      </c>
      <c r="B52" s="58">
        <f>+'1. Portfolio Detail'!B44</f>
        <v>6.6109332185481611</v>
      </c>
      <c r="C52" s="36">
        <f>+'1. Portfolio Detail'!C44</f>
        <v>5.676202379632414E-2</v>
      </c>
      <c r="D52" s="24">
        <f>+'1. Portfolio Detail'!D44</f>
        <v>0.46055551204184697</v>
      </c>
      <c r="E52" s="37">
        <f t="shared" si="1"/>
        <v>0.17282343225207167</v>
      </c>
      <c r="F52" s="27">
        <f t="shared" si="2"/>
        <v>5.3540096450869677E-2</v>
      </c>
      <c r="G52" s="38">
        <f>+(D52-'2. Working sheet'!$C$5)^2</f>
        <v>1.7845226285133079E-4</v>
      </c>
      <c r="H52" s="30">
        <f t="shared" si="3"/>
        <v>0.70481952364411915</v>
      </c>
      <c r="I52" s="39">
        <f>+'1. Portfolio Detail'!E44</f>
        <v>0.13868641965705727</v>
      </c>
      <c r="J52" s="30">
        <f t="shared" si="4"/>
        <v>0.9168466586723506</v>
      </c>
      <c r="K52" s="6"/>
    </row>
    <row r="53" spans="1:11" x14ac:dyDescent="0.3">
      <c r="A53" s="21">
        <v>44</v>
      </c>
      <c r="B53" s="58">
        <f>+'1. Portfolio Detail'!B45</f>
        <v>1.2550974996021949</v>
      </c>
      <c r="C53" s="36">
        <f>+'1. Portfolio Detail'!C45</f>
        <v>3.6418290708041159E-2</v>
      </c>
      <c r="D53" s="24">
        <f>+'1. Portfolio Detail'!D45</f>
        <v>0.63229804231588249</v>
      </c>
      <c r="E53" s="37">
        <f t="shared" si="1"/>
        <v>2.8901398612774101E-2</v>
      </c>
      <c r="F53" s="27">
        <f t="shared" si="2"/>
        <v>3.5091998809945762E-2</v>
      </c>
      <c r="G53" s="38">
        <f>+(D53-'2. Working sheet'!$C$5)^2</f>
        <v>3.4262429383306196E-2</v>
      </c>
      <c r="H53" s="30">
        <f t="shared" si="3"/>
        <v>0.15513324356642927</v>
      </c>
      <c r="I53" s="39">
        <f>+'1. Portfolio Detail'!E45</f>
        <v>0.11512292188103702</v>
      </c>
      <c r="J53" s="30">
        <f t="shared" si="4"/>
        <v>0.14449049139978837</v>
      </c>
      <c r="K53" s="6"/>
    </row>
    <row r="54" spans="1:11" x14ac:dyDescent="0.3">
      <c r="A54" s="21">
        <v>45</v>
      </c>
      <c r="B54" s="58">
        <f>+'1. Portfolio Detail'!B46</f>
        <v>3.6993869665247816</v>
      </c>
      <c r="C54" s="36">
        <f>+'1. Portfolio Detail'!C46</f>
        <v>3.795859199446161E-2</v>
      </c>
      <c r="D54" s="24">
        <f>+'1. Portfolio Detail'!D46</f>
        <v>0.28290816055339119</v>
      </c>
      <c r="E54" s="37">
        <f t="shared" si="1"/>
        <v>3.9726959880807086E-2</v>
      </c>
      <c r="F54" s="27">
        <f t="shared" si="2"/>
        <v>3.6517737288259605E-2</v>
      </c>
      <c r="G54" s="38">
        <f>+(D54-'2. Working sheet'!$C$5)^2</f>
        <v>2.6990793018385906E-2</v>
      </c>
      <c r="H54" s="30">
        <f t="shared" si="3"/>
        <v>0.23242349607660245</v>
      </c>
      <c r="I54" s="39">
        <f>+'1. Portfolio Detail'!E46</f>
        <v>0.11908913202543403</v>
      </c>
      <c r="J54" s="30">
        <f t="shared" si="4"/>
        <v>0.44055678286963962</v>
      </c>
      <c r="K54" s="6"/>
    </row>
    <row r="55" spans="1:11" x14ac:dyDescent="0.3">
      <c r="A55" s="21">
        <v>46</v>
      </c>
      <c r="B55" s="58">
        <f>+'1. Portfolio Detail'!B47</f>
        <v>4.8315484401644753</v>
      </c>
      <c r="C55" s="36">
        <f>+'1. Portfolio Detail'!C47</f>
        <v>4.0418583064794865E-2</v>
      </c>
      <c r="D55" s="24">
        <f>+'1. Portfolio Detail'!D47</f>
        <v>0.44450404250639997</v>
      </c>
      <c r="E55" s="37">
        <f t="shared" si="1"/>
        <v>8.6804679439585725E-2</v>
      </c>
      <c r="F55" s="27">
        <f t="shared" si="2"/>
        <v>3.8784921207829143E-2</v>
      </c>
      <c r="G55" s="38">
        <f>+(D55-'2. Working sheet'!$C$5)^2</f>
        <v>7.2515324476106112E-6</v>
      </c>
      <c r="H55" s="30">
        <f t="shared" si="3"/>
        <v>0.42296245174626218</v>
      </c>
      <c r="I55" s="39">
        <f>+'1. Portfolio Detail'!E47</f>
        <v>0.12412602058290595</v>
      </c>
      <c r="J55" s="30">
        <f t="shared" si="4"/>
        <v>0.59972088113116284</v>
      </c>
      <c r="K55" s="6"/>
    </row>
    <row r="56" spans="1:11" x14ac:dyDescent="0.3">
      <c r="A56" s="21">
        <v>47</v>
      </c>
      <c r="B56" s="58">
        <f>+'1. Portfolio Detail'!B48</f>
        <v>4.9206383359559558</v>
      </c>
      <c r="C56" s="36">
        <f>+'1. Portfolio Detail'!C48</f>
        <v>4.1871553647260272E-2</v>
      </c>
      <c r="D56" s="24">
        <f>+'1. Portfolio Detail'!D48</f>
        <v>0.31914538221676392</v>
      </c>
      <c r="E56" s="37">
        <f t="shared" si="1"/>
        <v>6.5755046079908688E-2</v>
      </c>
      <c r="F56" s="27">
        <f t="shared" si="2"/>
        <v>4.011832664242488E-2</v>
      </c>
      <c r="G56" s="38">
        <f>+(D56-'2. Working sheet'!$C$5)^2</f>
        <v>1.6397193630172585E-2</v>
      </c>
      <c r="H56" s="30">
        <f t="shared" si="3"/>
        <v>0.33994378672384695</v>
      </c>
      <c r="I56" s="39">
        <f>+'1. Portfolio Detail'!E48</f>
        <v>0.10127489691999735</v>
      </c>
      <c r="J56" s="30">
        <f t="shared" si="4"/>
        <v>0.49833714025452669</v>
      </c>
      <c r="K56" s="6"/>
    </row>
    <row r="57" spans="1:11" x14ac:dyDescent="0.3">
      <c r="A57" s="21">
        <v>48</v>
      </c>
      <c r="B57" s="58">
        <f>+'1. Portfolio Detail'!B49</f>
        <v>8.0516670143246962</v>
      </c>
      <c r="C57" s="36">
        <f>+'1. Portfolio Detail'!C49</f>
        <v>4.3646293932275725E-2</v>
      </c>
      <c r="D57" s="24">
        <f>+'1. Portfolio Detail'!D49</f>
        <v>0.29875486333017853</v>
      </c>
      <c r="E57" s="37">
        <f t="shared" si="1"/>
        <v>0.10499005486204299</v>
      </c>
      <c r="F57" s="27">
        <f t="shared" si="2"/>
        <v>4.1741294958253114E-2</v>
      </c>
      <c r="G57" s="38">
        <f>+(D57-'2. Working sheet'!$C$5)^2</f>
        <v>2.203504106019033E-2</v>
      </c>
      <c r="H57" s="30">
        <f t="shared" si="3"/>
        <v>0.55125084010853398</v>
      </c>
      <c r="I57" s="39">
        <f>+'1. Portfolio Detail'!E49</f>
        <v>0.12239370289672052</v>
      </c>
      <c r="J57" s="30">
        <f t="shared" si="4"/>
        <v>0.98547334037458167</v>
      </c>
      <c r="K57" s="6"/>
    </row>
    <row r="58" spans="1:11" x14ac:dyDescent="0.3">
      <c r="A58" s="21">
        <v>49</v>
      </c>
      <c r="B58" s="58">
        <f>+'1. Portfolio Detail'!B50</f>
        <v>6.9514260211182624</v>
      </c>
      <c r="C58" s="36">
        <f>+'1. Portfolio Detail'!C50</f>
        <v>4.5988347961935357E-2</v>
      </c>
      <c r="D58" s="24">
        <f>+'1. Portfolio Detail'!D50</f>
        <v>0.68617424011340833</v>
      </c>
      <c r="E58" s="37">
        <f t="shared" si="1"/>
        <v>0.21935933658264595</v>
      </c>
      <c r="F58" s="27">
        <f t="shared" si="2"/>
        <v>4.3873419813667311E-2</v>
      </c>
      <c r="G58" s="38">
        <f>+(D58-'2. Working sheet'!$C$5)^2</f>
        <v>5.7110164564647077E-2</v>
      </c>
      <c r="H58" s="30">
        <f t="shared" si="3"/>
        <v>1.0607144404405824</v>
      </c>
      <c r="I58" s="39">
        <f>+'1. Portfolio Detail'!E50</f>
        <v>0.10075484023360672</v>
      </c>
      <c r="J58" s="30">
        <f t="shared" si="4"/>
        <v>0.70038981815350698</v>
      </c>
      <c r="K58" s="6"/>
    </row>
    <row r="59" spans="1:11" x14ac:dyDescent="0.3">
      <c r="A59" s="21">
        <v>50</v>
      </c>
      <c r="B59" s="58">
        <f>+'1. Portfolio Detail'!B51</f>
        <v>8.3901456324162869</v>
      </c>
      <c r="C59" s="36">
        <f>+'1. Portfolio Detail'!C51</f>
        <v>5.8158710199308669E-2</v>
      </c>
      <c r="D59" s="24">
        <f>+'1. Portfolio Detail'!D51</f>
        <v>0.47821276883639796</v>
      </c>
      <c r="E59" s="37">
        <f t="shared" si="1"/>
        <v>0.23334872581050128</v>
      </c>
      <c r="F59" s="27">
        <f t="shared" si="2"/>
        <v>5.4776274627261499E-2</v>
      </c>
      <c r="G59" s="38">
        <f>+(D59-'2. Working sheet'!$C$5)^2</f>
        <v>9.6198353265125234E-4</v>
      </c>
      <c r="H59" s="30">
        <f t="shared" si="3"/>
        <v>0.94114079316651356</v>
      </c>
      <c r="I59" s="39">
        <f>+'1. Portfolio Detail'!E51</f>
        <v>0.10866445438751544</v>
      </c>
      <c r="J59" s="30">
        <f t="shared" si="4"/>
        <v>0.9117105973783115</v>
      </c>
      <c r="K59" s="6"/>
    </row>
    <row r="60" spans="1:11" x14ac:dyDescent="0.3">
      <c r="A60" s="21">
        <v>51</v>
      </c>
      <c r="B60" s="58">
        <f>+'1. Portfolio Detail'!B52</f>
        <v>3.5906797538514317</v>
      </c>
      <c r="C60" s="36">
        <f>+'1. Portfolio Detail'!C52</f>
        <v>2.1663832222160669E-2</v>
      </c>
      <c r="D60" s="24">
        <f>+'1. Portfolio Detail'!D52</f>
        <v>0.37728556210490194</v>
      </c>
      <c r="E60" s="37">
        <f t="shared" si="1"/>
        <v>2.9348245445926652E-2</v>
      </c>
      <c r="F60" s="27">
        <f t="shared" si="2"/>
        <v>2.1194510595610744E-2</v>
      </c>
      <c r="G60" s="38">
        <f>+(D60-'2. Working sheet'!$C$5)^2</f>
        <v>4.8875964894678006E-3</v>
      </c>
      <c r="H60" s="30">
        <f t="shared" si="3"/>
        <v>0.20065455691402342</v>
      </c>
      <c r="I60" s="39">
        <f>+'1. Portfolio Detail'!E52</f>
        <v>0.11806101871030746</v>
      </c>
      <c r="J60" s="30">
        <f t="shared" si="4"/>
        <v>0.42391930960217605</v>
      </c>
      <c r="K60" s="6"/>
    </row>
    <row r="61" spans="1:11" x14ac:dyDescent="0.3">
      <c r="A61" s="21">
        <v>52</v>
      </c>
      <c r="B61" s="58">
        <f>+'1. Portfolio Detail'!B53</f>
        <v>8.5378732197979161</v>
      </c>
      <c r="C61" s="36">
        <f>+'1. Portfolio Detail'!C53</f>
        <v>2.996236509505823E-2</v>
      </c>
      <c r="D61" s="24">
        <f>+'1. Portfolio Detail'!D53</f>
        <v>0.61104187246048813</v>
      </c>
      <c r="E61" s="37">
        <f t="shared" si="1"/>
        <v>0.15631359994638599</v>
      </c>
      <c r="F61" s="27">
        <f t="shared" si="2"/>
        <v>2.9064621772968667E-2</v>
      </c>
      <c r="G61" s="38">
        <f>+(D61-'2. Working sheet'!$C$5)^2</f>
        <v>2.6845171899547115E-2</v>
      </c>
      <c r="H61" s="30">
        <f t="shared" si="3"/>
        <v>0.92178454347916994</v>
      </c>
      <c r="I61" s="39">
        <f>+'1. Portfolio Detail'!E53</f>
        <v>0.10725827034040378</v>
      </c>
      <c r="J61" s="30">
        <f t="shared" si="4"/>
        <v>0.91575751394117855</v>
      </c>
      <c r="K61" s="6"/>
    </row>
    <row r="62" spans="1:11" x14ac:dyDescent="0.3">
      <c r="A62" s="21">
        <v>53</v>
      </c>
      <c r="B62" s="58">
        <f>+'1. Portfolio Detail'!B54</f>
        <v>2.9856840834995526</v>
      </c>
      <c r="C62" s="36">
        <f>+'1. Portfolio Detail'!C54</f>
        <v>2.8207052284732879E-2</v>
      </c>
      <c r="D62" s="24">
        <f>+'1. Portfolio Detail'!D54</f>
        <v>0.24488742906452443</v>
      </c>
      <c r="E62" s="37">
        <f t="shared" si="1"/>
        <v>2.0623769601456256E-2</v>
      </c>
      <c r="F62" s="27">
        <f t="shared" si="2"/>
        <v>2.7411414486139225E-2</v>
      </c>
      <c r="G62" s="38">
        <f>+(D62-'2. Working sheet'!$C$5)^2</f>
        <v>4.0929125859226055E-2</v>
      </c>
      <c r="H62" s="30">
        <f t="shared" si="3"/>
        <v>0.15794095213349868</v>
      </c>
      <c r="I62" s="39">
        <f>+'1. Portfolio Detail'!E54</f>
        <v>0.10642642368353039</v>
      </c>
      <c r="J62" s="30">
        <f t="shared" si="4"/>
        <v>0.31775567925569653</v>
      </c>
      <c r="K62" s="6"/>
    </row>
    <row r="63" spans="1:11" x14ac:dyDescent="0.3">
      <c r="A63" s="21">
        <v>54</v>
      </c>
      <c r="B63" s="58">
        <f>+'1. Portfolio Detail'!B55</f>
        <v>8.2342757175777361</v>
      </c>
      <c r="C63" s="36">
        <f>+'1. Portfolio Detail'!C55</f>
        <v>3.2130693570795996E-2</v>
      </c>
      <c r="D63" s="24">
        <f>+'1. Portfolio Detail'!D55</f>
        <v>0.25464974174436694</v>
      </c>
      <c r="E63" s="37">
        <f t="shared" si="1"/>
        <v>6.7373443540113209E-2</v>
      </c>
      <c r="F63" s="27">
        <f t="shared" si="2"/>
        <v>3.1098312101455604E-2</v>
      </c>
      <c r="G63" s="38">
        <f>+(D63-'2. Working sheet'!$C$5)^2</f>
        <v>3.7074411796586264E-2</v>
      </c>
      <c r="H63" s="30">
        <f t="shared" si="3"/>
        <v>0.46637144956829318</v>
      </c>
      <c r="I63" s="39">
        <f>+'1. Portfolio Detail'!E55</f>
        <v>0.10250278832607154</v>
      </c>
      <c r="J63" s="30">
        <f t="shared" si="4"/>
        <v>0.84403622089738151</v>
      </c>
      <c r="K63" s="6"/>
    </row>
    <row r="64" spans="1:11" x14ac:dyDescent="0.3">
      <c r="A64" s="21">
        <v>55</v>
      </c>
      <c r="B64" s="58">
        <f>+'1. Portfolio Detail'!B56</f>
        <v>1.088466378198353</v>
      </c>
      <c r="C64" s="36">
        <f>+'1. Portfolio Detail'!C56</f>
        <v>2.441100327085248E-2</v>
      </c>
      <c r="D64" s="24">
        <f>+'1. Portfolio Detail'!D56</f>
        <v>0.30861886504360347</v>
      </c>
      <c r="E64" s="37">
        <f t="shared" si="1"/>
        <v>8.2001749345657505E-3</v>
      </c>
      <c r="F64" s="27">
        <f t="shared" si="2"/>
        <v>2.3815106190162909E-2</v>
      </c>
      <c r="G64" s="38">
        <f>+(D64-'2. Working sheet'!$C$5)^2</f>
        <v>1.9203874395189779E-2</v>
      </c>
      <c r="H64" s="30">
        <f t="shared" si="3"/>
        <v>5.6945311338526386E-2</v>
      </c>
      <c r="I64" s="39">
        <f>+'1. Portfolio Detail'!E56</f>
        <v>0.10137775178807033</v>
      </c>
      <c r="J64" s="30">
        <f t="shared" si="4"/>
        <v>0.11034627431865252</v>
      </c>
      <c r="K64" s="6"/>
    </row>
    <row r="65" spans="1:11" x14ac:dyDescent="0.3">
      <c r="A65" s="21">
        <v>56</v>
      </c>
      <c r="B65" s="58">
        <f>+'1. Portfolio Detail'!B57</f>
        <v>8.1622363044850736</v>
      </c>
      <c r="C65" s="36">
        <f>+'1. Portfolio Detail'!C57</f>
        <v>5.3328414198889326E-2</v>
      </c>
      <c r="D65" s="24">
        <f>+'1. Portfolio Detail'!D57</f>
        <v>0.34290007437103986</v>
      </c>
      <c r="E65" s="37">
        <f t="shared" si="1"/>
        <v>0.14925724208345076</v>
      </c>
      <c r="F65" s="27">
        <f t="shared" si="2"/>
        <v>5.0484494437921024E-2</v>
      </c>
      <c r="G65" s="38">
        <f>+(D65-'2. Working sheet'!$C$5)^2</f>
        <v>1.0877829810263908E-2</v>
      </c>
      <c r="H65" s="30">
        <f t="shared" si="3"/>
        <v>0.65887437772771285</v>
      </c>
      <c r="I65" s="39">
        <f>+'1. Portfolio Detail'!E57</f>
        <v>0.10072910356217013</v>
      </c>
      <c r="J65" s="30">
        <f t="shared" si="4"/>
        <v>0.82217474601338181</v>
      </c>
      <c r="K65" s="6"/>
    </row>
    <row r="66" spans="1:11" x14ac:dyDescent="0.3">
      <c r="A66" s="21">
        <v>57</v>
      </c>
      <c r="B66" s="58">
        <f>+'1. Portfolio Detail'!B58</f>
        <v>2.2122162163148911</v>
      </c>
      <c r="C66" s="36">
        <f>+'1. Portfolio Detail'!C58</f>
        <v>5.5072206066467781E-2</v>
      </c>
      <c r="D66" s="24">
        <f>+'1. Portfolio Detail'!D58</f>
        <v>0.33976200731732742</v>
      </c>
      <c r="E66" s="37">
        <f t="shared" si="1"/>
        <v>4.1393758255859343E-2</v>
      </c>
      <c r="F66" s="27">
        <f t="shared" si="2"/>
        <v>5.2039258185440293E-2</v>
      </c>
      <c r="G66" s="38">
        <f>+(D66-'2. Working sheet'!$C$5)^2</f>
        <v>1.1542258199116561E-2</v>
      </c>
      <c r="H66" s="30">
        <f t="shared" si="3"/>
        <v>0.18030548867422139</v>
      </c>
      <c r="I66" s="39">
        <f>+'1. Portfolio Detail'!E58</f>
        <v>0.10125367629307698</v>
      </c>
      <c r="J66" s="30">
        <f t="shared" si="4"/>
        <v>0.22399502465704355</v>
      </c>
      <c r="K66" s="6"/>
    </row>
    <row r="67" spans="1:11" x14ac:dyDescent="0.3">
      <c r="A67" s="21">
        <v>58</v>
      </c>
      <c r="B67" s="58">
        <f>+'1. Portfolio Detail'!B59</f>
        <v>9.6913262885539115</v>
      </c>
      <c r="C67" s="36">
        <f>+'1. Portfolio Detail'!C59</f>
        <v>3.9478714859582362E-2</v>
      </c>
      <c r="D67" s="24">
        <f>+'1. Portfolio Detail'!D59</f>
        <v>0.3213960702055253</v>
      </c>
      <c r="E67" s="37">
        <f t="shared" si="1"/>
        <v>0.12296649229654111</v>
      </c>
      <c r="F67" s="27">
        <f t="shared" si="2"/>
        <v>3.7920145932618152E-2</v>
      </c>
      <c r="G67" s="38">
        <f>+(D67-'2. Working sheet'!$C$5)^2</f>
        <v>1.5825851157962645E-2</v>
      </c>
      <c r="H67" s="30">
        <f t="shared" si="3"/>
        <v>0.65312365157495733</v>
      </c>
      <c r="I67" s="39">
        <f>+'1. Portfolio Detail'!E59</f>
        <v>0.13995251362072786</v>
      </c>
      <c r="J67" s="30">
        <f t="shared" si="4"/>
        <v>1.3563254744017592</v>
      </c>
      <c r="K67" s="6"/>
    </row>
    <row r="68" spans="1:11" x14ac:dyDescent="0.3">
      <c r="A68" s="21">
        <v>59</v>
      </c>
      <c r="B68" s="58">
        <f>+'1. Portfolio Detail'!B60</f>
        <v>8.0233677127741974</v>
      </c>
      <c r="C68" s="36">
        <f>+'1. Portfolio Detail'!C60</f>
        <v>2.9011169908627489E-2</v>
      </c>
      <c r="D68" s="24">
        <f>+'1. Portfolio Detail'!D60</f>
        <v>0.4221139839134509</v>
      </c>
      <c r="E68" s="37">
        <f t="shared" si="1"/>
        <v>9.8254325554826896E-2</v>
      </c>
      <c r="F68" s="27">
        <f t="shared" si="2"/>
        <v>2.8169521929160234E-2</v>
      </c>
      <c r="G68" s="38">
        <f>+(D68-'2. Working sheet'!$C$5)^2</f>
        <v>6.2915315413970667E-4</v>
      </c>
      <c r="H68" s="30">
        <f t="shared" si="3"/>
        <v>0.56946153772447028</v>
      </c>
      <c r="I68" s="39">
        <f>+'1. Portfolio Detail'!E60</f>
        <v>0.13433242675583779</v>
      </c>
      <c r="J68" s="30">
        <f t="shared" si="4"/>
        <v>1.0777984556113935</v>
      </c>
      <c r="K68" s="6"/>
    </row>
    <row r="69" spans="1:11" x14ac:dyDescent="0.3">
      <c r="A69" s="21">
        <v>60</v>
      </c>
      <c r="B69" s="58">
        <f>+'1. Portfolio Detail'!B61</f>
        <v>2.3189503091178958</v>
      </c>
      <c r="C69" s="36">
        <f>+'1. Portfolio Detail'!C61</f>
        <v>1.1732376427232622E-2</v>
      </c>
      <c r="D69" s="24">
        <f>+'1. Portfolio Detail'!D61</f>
        <v>0.2117527587759801</v>
      </c>
      <c r="E69" s="37">
        <f t="shared" si="1"/>
        <v>5.7611145218101484E-3</v>
      </c>
      <c r="F69" s="27">
        <f t="shared" si="2"/>
        <v>1.1594727770602338E-2</v>
      </c>
      <c r="G69" s="38">
        <f>+(D69-'2. Working sheet'!$C$5)^2</f>
        <v>5.5433948092877473E-2</v>
      </c>
      <c r="H69" s="30">
        <f t="shared" si="3"/>
        <v>7.9329477497764131E-2</v>
      </c>
      <c r="I69" s="39">
        <f>+'1. Portfolio Detail'!E61</f>
        <v>0.10031872765066355</v>
      </c>
      <c r="J69" s="30">
        <f t="shared" si="4"/>
        <v>0.23263414449582023</v>
      </c>
      <c r="K69" s="6"/>
    </row>
    <row r="70" spans="1:11" x14ac:dyDescent="0.3">
      <c r="A70" s="21">
        <v>61</v>
      </c>
      <c r="B70" s="58">
        <f>+'1. Portfolio Detail'!B62</f>
        <v>6.1665311912174747</v>
      </c>
      <c r="C70" s="36">
        <f>+'1. Portfolio Detail'!C62</f>
        <v>1.0611659424387423E-2</v>
      </c>
      <c r="D70" s="24">
        <f>+'1. Portfolio Detail'!D62</f>
        <v>0.68773675939844758</v>
      </c>
      <c r="E70" s="37">
        <f t="shared" si="1"/>
        <v>4.5003518926613251E-2</v>
      </c>
      <c r="F70" s="27">
        <f t="shared" si="2"/>
        <v>1.0499052108648233E-2</v>
      </c>
      <c r="G70" s="38">
        <f>+(D70-'2. Working sheet'!$C$5)^2</f>
        <v>5.7859419406819157E-2</v>
      </c>
      <c r="H70" s="30">
        <f t="shared" si="3"/>
        <v>0.46062978992703119</v>
      </c>
      <c r="I70" s="39">
        <f>+'1. Portfolio Detail'!E62</f>
        <v>0.12708290028875185</v>
      </c>
      <c r="J70" s="30">
        <f t="shared" si="4"/>
        <v>0.78366066850096849</v>
      </c>
      <c r="K70" s="6"/>
    </row>
    <row r="71" spans="1:11" x14ac:dyDescent="0.3">
      <c r="A71" s="21">
        <v>62</v>
      </c>
      <c r="B71" s="58">
        <f>+'1. Portfolio Detail'!B63</f>
        <v>4.1569754396347722</v>
      </c>
      <c r="C71" s="36">
        <f>+'1. Portfolio Detail'!C63</f>
        <v>2.1458863144407495E-2</v>
      </c>
      <c r="D71" s="24">
        <f>+'1. Portfolio Detail'!D63</f>
        <v>0.39674587505405601</v>
      </c>
      <c r="E71" s="37">
        <f t="shared" si="1"/>
        <v>3.5391305967047412E-2</v>
      </c>
      <c r="F71" s="27">
        <f t="shared" si="2"/>
        <v>2.0998380336957084E-2</v>
      </c>
      <c r="G71" s="38">
        <f>+(D71-'2. Working sheet'!$C$5)^2</f>
        <v>2.5453068729635936E-3</v>
      </c>
      <c r="H71" s="30">
        <f t="shared" si="3"/>
        <v>0.2409582314198154</v>
      </c>
      <c r="I71" s="39">
        <f>+'1. Portfolio Detail'!E63</f>
        <v>0.12142183819903039</v>
      </c>
      <c r="J71" s="30">
        <f t="shared" si="4"/>
        <v>0.50474759922867651</v>
      </c>
      <c r="K71" s="6"/>
    </row>
    <row r="72" spans="1:11" x14ac:dyDescent="0.3">
      <c r="A72" s="21">
        <v>63</v>
      </c>
      <c r="B72" s="58">
        <f>+'1. Portfolio Detail'!B64</f>
        <v>10.268248883815462</v>
      </c>
      <c r="C72" s="36">
        <f>+'1. Portfolio Detail'!C64</f>
        <v>2.3410762736715891E-2</v>
      </c>
      <c r="D72" s="24">
        <f>+'1. Portfolio Detail'!D64</f>
        <v>0.42137740161448733</v>
      </c>
      <c r="E72" s="37">
        <f t="shared" si="1"/>
        <v>0.10129387628644455</v>
      </c>
      <c r="F72" s="27">
        <f t="shared" si="2"/>
        <v>2.2862698924801084E-2</v>
      </c>
      <c r="G72" s="38">
        <f>+(D72-'2. Working sheet'!$C$5)^2</f>
        <v>6.6664698555534525E-4</v>
      </c>
      <c r="H72" s="30">
        <f t="shared" si="3"/>
        <v>0.65548778207673219</v>
      </c>
      <c r="I72" s="39">
        <f>+'1. Portfolio Detail'!E64</f>
        <v>0.10281574852737184</v>
      </c>
      <c r="J72" s="30">
        <f t="shared" si="4"/>
        <v>1.0557376950548372</v>
      </c>
      <c r="K72" s="6"/>
    </row>
    <row r="73" spans="1:11" x14ac:dyDescent="0.3">
      <c r="A73" s="21">
        <v>64</v>
      </c>
      <c r="B73" s="58">
        <f>+'1. Portfolio Detail'!B65</f>
        <v>10.673199998652498</v>
      </c>
      <c r="C73" s="36">
        <f>+'1. Portfolio Detail'!C65</f>
        <v>2.333808157823301E-2</v>
      </c>
      <c r="D73" s="24">
        <f>+'1. Portfolio Detail'!D65</f>
        <v>0.29064867434225439</v>
      </c>
      <c r="E73" s="37">
        <f t="shared" si="1"/>
        <v>7.2398263155330697E-2</v>
      </c>
      <c r="F73" s="27">
        <f t="shared" si="2"/>
        <v>2.2793415526480752E-2</v>
      </c>
      <c r="G73" s="38">
        <f>+(D73-'2. Working sheet'!$C$5)^2</f>
        <v>2.4507349919516887E-2</v>
      </c>
      <c r="H73" s="30">
        <f t="shared" si="3"/>
        <v>0.53338946827466815</v>
      </c>
      <c r="I73" s="39">
        <f>+'1. Portfolio Detail'!E65</f>
        <v>0.10440602577013545</v>
      </c>
      <c r="J73" s="30">
        <f t="shared" si="4"/>
        <v>1.1143463941091225</v>
      </c>
      <c r="K73" s="6"/>
    </row>
    <row r="74" spans="1:11" x14ac:dyDescent="0.3">
      <c r="A74" s="21">
        <v>65</v>
      </c>
      <c r="B74" s="58">
        <f>+'1. Portfolio Detail'!B66</f>
        <v>1.3826549331444318</v>
      </c>
      <c r="C74" s="36">
        <f>+'1. Portfolio Detail'!C66</f>
        <v>1.1950136557084717E-2</v>
      </c>
      <c r="D74" s="24">
        <f>+'1. Portfolio Detail'!D66</f>
        <v>0.54348701272375433</v>
      </c>
      <c r="E74" s="37">
        <f t="shared" si="1"/>
        <v>8.9799898574510258E-3</v>
      </c>
      <c r="F74" s="27">
        <f t="shared" si="2"/>
        <v>1.1807330793351743E-2</v>
      </c>
      <c r="G74" s="38">
        <f>+(D74-'2. Working sheet'!$C$5)^2</f>
        <v>9.271783985907292E-3</v>
      </c>
      <c r="H74" s="30">
        <f t="shared" si="3"/>
        <v>8.2941162909489136E-2</v>
      </c>
      <c r="I74" s="39">
        <f>+'1. Portfolio Detail'!E66</f>
        <v>0.13511970343324797</v>
      </c>
      <c r="J74" s="30">
        <f t="shared" ref="J74:J105" si="5">+I74*B74</f>
        <v>0.18682392451699292</v>
      </c>
      <c r="K74" s="6"/>
    </row>
    <row r="75" spans="1:11" x14ac:dyDescent="0.3">
      <c r="A75" s="21">
        <v>66</v>
      </c>
      <c r="B75" s="58">
        <f>+'1. Portfolio Detail'!B67</f>
        <v>3.1536814019105055</v>
      </c>
      <c r="C75" s="36">
        <f>+'1. Portfolio Detail'!C67</f>
        <v>5.8269265206104433E-2</v>
      </c>
      <c r="D75" s="24">
        <f>+'1. Portfolio Detail'!D67</f>
        <v>0.60731939550287373</v>
      </c>
      <c r="E75" s="37">
        <f t="shared" ref="E75:E109" si="6">+B75*C75*D75</f>
        <v>0.11160265065530572</v>
      </c>
      <c r="F75" s="27">
        <f t="shared" ref="F75:F109" si="7">+C75*(1-C75)</f>
        <v>5.48739579384451E-2</v>
      </c>
      <c r="G75" s="38">
        <f>+(D75-'2. Working sheet'!$C$5)^2</f>
        <v>2.5639210535490713E-2</v>
      </c>
      <c r="H75" s="30">
        <f t="shared" ref="H75:H109" si="8">+B75*(SQRT((C75*G75)+((D75^2)*F75)))</f>
        <v>0.46492490293011152</v>
      </c>
      <c r="I75" s="39">
        <f>+'1. Portfolio Detail'!E67</f>
        <v>0.10265356627612908</v>
      </c>
      <c r="J75" s="30">
        <f t="shared" si="5"/>
        <v>0.32373664280481573</v>
      </c>
      <c r="K75" s="6"/>
    </row>
    <row r="76" spans="1:11" x14ac:dyDescent="0.3">
      <c r="A76" s="21">
        <v>67</v>
      </c>
      <c r="B76" s="58">
        <f>+'1. Portfolio Detail'!B68</f>
        <v>9.264013733791856</v>
      </c>
      <c r="C76" s="36">
        <f>+'1. Portfolio Detail'!C68</f>
        <v>4.2326681377969522E-2</v>
      </c>
      <c r="D76" s="24">
        <f>+'1. Portfolio Detail'!D68</f>
        <v>0.54733973209912379</v>
      </c>
      <c r="E76" s="37">
        <f t="shared" si="6"/>
        <v>0.21462009584010422</v>
      </c>
      <c r="F76" s="27">
        <f t="shared" si="7"/>
        <v>4.0535133421497373E-2</v>
      </c>
      <c r="G76" s="38">
        <f>+(D76-'2. Working sheet'!$C$5)^2</f>
        <v>1.0028584925468331E-2</v>
      </c>
      <c r="H76" s="30">
        <f t="shared" si="8"/>
        <v>1.0385626160552071</v>
      </c>
      <c r="I76" s="39">
        <f>+'1. Portfolio Detail'!E68</f>
        <v>0.10495585022121799</v>
      </c>
      <c r="J76" s="30">
        <f t="shared" si="5"/>
        <v>0.9723124378911645</v>
      </c>
      <c r="K76" s="6"/>
    </row>
    <row r="77" spans="1:11" x14ac:dyDescent="0.3">
      <c r="A77" s="21">
        <v>68</v>
      </c>
      <c r="B77" s="58">
        <f>+'1. Portfolio Detail'!B69</f>
        <v>10.158135652355226</v>
      </c>
      <c r="C77" s="36">
        <f>+'1. Portfolio Detail'!C69</f>
        <v>2.0607417482393933E-2</v>
      </c>
      <c r="D77" s="24">
        <f>+'1. Portfolio Detail'!D69</f>
        <v>0.31161773195781539</v>
      </c>
      <c r="E77" s="37">
        <f t="shared" si="6"/>
        <v>6.52318566820414E-2</v>
      </c>
      <c r="F77" s="27">
        <f t="shared" si="7"/>
        <v>2.0182751827100259E-2</v>
      </c>
      <c r="G77" s="38">
        <f>+(D77-'2. Working sheet'!$C$5)^2</f>
        <v>1.8381713373066048E-2</v>
      </c>
      <c r="H77" s="30">
        <f t="shared" si="8"/>
        <v>0.49124413041822229</v>
      </c>
      <c r="I77" s="39">
        <f>+'1. Portfolio Detail'!E69</f>
        <v>0.1152097850178625</v>
      </c>
      <c r="J77" s="30">
        <f t="shared" si="5"/>
        <v>1.17031662469013</v>
      </c>
      <c r="K77" s="6"/>
    </row>
    <row r="78" spans="1:11" x14ac:dyDescent="0.3">
      <c r="A78" s="21">
        <v>69</v>
      </c>
      <c r="B78" s="58">
        <f>+'1. Portfolio Detail'!B70</f>
        <v>1.3299276916067184</v>
      </c>
      <c r="C78" s="36">
        <f>+'1. Portfolio Detail'!C70</f>
        <v>5.5943242813198658E-2</v>
      </c>
      <c r="D78" s="24">
        <f>+'1. Portfolio Detail'!D70</f>
        <v>0.65960207770955959</v>
      </c>
      <c r="E78" s="37">
        <f t="shared" si="6"/>
        <v>4.9074703127316856E-2</v>
      </c>
      <c r="F78" s="27">
        <f t="shared" si="7"/>
        <v>5.2813596396742157E-2</v>
      </c>
      <c r="G78" s="38">
        <f>+(D78-'2. Working sheet'!$C$5)^2</f>
        <v>4.5115955497718171E-2</v>
      </c>
      <c r="H78" s="30">
        <f t="shared" si="8"/>
        <v>0.21237992975655665</v>
      </c>
      <c r="I78" s="39">
        <f>+'1. Portfolio Detail'!E70</f>
        <v>0.10438510330015383</v>
      </c>
      <c r="J78" s="30">
        <f t="shared" si="5"/>
        <v>0.13882463947010243</v>
      </c>
      <c r="K78" s="6"/>
    </row>
    <row r="79" spans="1:11" x14ac:dyDescent="0.3">
      <c r="A79" s="21">
        <v>70</v>
      </c>
      <c r="B79" s="58">
        <f>+'1. Portfolio Detail'!B71</f>
        <v>1.6612967459346408</v>
      </c>
      <c r="C79" s="36">
        <f>+'1. Portfolio Detail'!C71</f>
        <v>1.4203439875536579E-2</v>
      </c>
      <c r="D79" s="24">
        <f>+'1. Portfolio Detail'!D71</f>
        <v>0.44582121139090425</v>
      </c>
      <c r="E79" s="37">
        <f t="shared" si="6"/>
        <v>1.0519654568068068E-2</v>
      </c>
      <c r="F79" s="27">
        <f t="shared" si="7"/>
        <v>1.4001702171238596E-2</v>
      </c>
      <c r="G79" s="38">
        <f>+(D79-'2. Working sheet'!$C$5)^2</f>
        <v>1.8925451864171723E-6</v>
      </c>
      <c r="H79" s="30">
        <f t="shared" si="8"/>
        <v>8.7639614231546106E-2</v>
      </c>
      <c r="I79" s="39">
        <f>+'1. Portfolio Detail'!E71</f>
        <v>0.10509648265241604</v>
      </c>
      <c r="J79" s="30">
        <f t="shared" si="5"/>
        <v>0.1745964446396352</v>
      </c>
      <c r="K79" s="6"/>
    </row>
    <row r="80" spans="1:11" x14ac:dyDescent="0.3">
      <c r="A80" s="21">
        <v>71</v>
      </c>
      <c r="B80" s="58">
        <f>+'1. Portfolio Detail'!B72</f>
        <v>2.224656752148042</v>
      </c>
      <c r="C80" s="36">
        <f>+'1. Portfolio Detail'!C72</f>
        <v>4.3920475820826387E-2</v>
      </c>
      <c r="D80" s="24">
        <f>+'1. Portfolio Detail'!D72</f>
        <v>0.46300614450734534</v>
      </c>
      <c r="E80" s="37">
        <f t="shared" si="6"/>
        <v>4.523939653918075E-2</v>
      </c>
      <c r="F80" s="27">
        <f t="shared" si="7"/>
        <v>4.1991467624498589E-2</v>
      </c>
      <c r="G80" s="38">
        <f>+(D80-'2. Working sheet'!$C$5)^2</f>
        <v>2.4993191267759794E-4</v>
      </c>
      <c r="H80" s="30">
        <f t="shared" si="8"/>
        <v>0.21120049240755212</v>
      </c>
      <c r="I80" s="39">
        <f>+'1. Portfolio Detail'!E72</f>
        <v>0.1388599163158494</v>
      </c>
      <c r="J80" s="30">
        <f t="shared" si="5"/>
        <v>0.30891565043476643</v>
      </c>
      <c r="K80" s="6"/>
    </row>
    <row r="81" spans="1:11" x14ac:dyDescent="0.3">
      <c r="A81" s="21">
        <v>72</v>
      </c>
      <c r="B81" s="58">
        <f>+'1. Portfolio Detail'!B73</f>
        <v>4.742387246625027</v>
      </c>
      <c r="C81" s="36">
        <f>+'1. Portfolio Detail'!C73</f>
        <v>3.5737095870318626E-2</v>
      </c>
      <c r="D81" s="24">
        <f>+'1. Portfolio Detail'!D73</f>
        <v>0.36469003508983466</v>
      </c>
      <c r="E81" s="37">
        <f t="shared" si="6"/>
        <v>6.180735631689982E-2</v>
      </c>
      <c r="F81" s="27">
        <f t="shared" si="7"/>
        <v>3.4459955849074284E-2</v>
      </c>
      <c r="G81" s="38">
        <f>+(D81-'2. Working sheet'!$C$5)^2</f>
        <v>6.8073843188802179E-3</v>
      </c>
      <c r="H81" s="30">
        <f t="shared" si="8"/>
        <v>0.32946486360142774</v>
      </c>
      <c r="I81" s="39">
        <f>+'1. Portfolio Detail'!E73</f>
        <v>0.13511956428642136</v>
      </c>
      <c r="J81" s="30">
        <f t="shared" si="5"/>
        <v>0.64078929844145516</v>
      </c>
      <c r="K81" s="6"/>
    </row>
    <row r="82" spans="1:11" x14ac:dyDescent="0.3">
      <c r="A82" s="21">
        <v>73</v>
      </c>
      <c r="B82" s="58">
        <f>+'1. Portfolio Detail'!B74</f>
        <v>5.307747345723457</v>
      </c>
      <c r="C82" s="36">
        <f>+'1. Portfolio Detail'!C74</f>
        <v>3.9974862484740449E-2</v>
      </c>
      <c r="D82" s="24">
        <f>+'1. Portfolio Detail'!D74</f>
        <v>0.44641921040529908</v>
      </c>
      <c r="E82" s="37">
        <f t="shared" si="6"/>
        <v>9.4719652315160455E-2</v>
      </c>
      <c r="F82" s="27">
        <f t="shared" si="7"/>
        <v>3.8376872854066539E-2</v>
      </c>
      <c r="G82" s="38">
        <f>+(D82-'2. Working sheet'!$C$5)^2</f>
        <v>6.0481582482896037E-7</v>
      </c>
      <c r="H82" s="30">
        <f t="shared" si="8"/>
        <v>0.46418232007800975</v>
      </c>
      <c r="I82" s="39">
        <f>+'1. Portfolio Detail'!E74</f>
        <v>0.10026099477580827</v>
      </c>
      <c r="J82" s="30">
        <f t="shared" si="5"/>
        <v>0.53216002890088976</v>
      </c>
      <c r="K82" s="6"/>
    </row>
    <row r="83" spans="1:11" x14ac:dyDescent="0.3">
      <c r="A83" s="21">
        <v>74</v>
      </c>
      <c r="B83" s="58">
        <f>+'1. Portfolio Detail'!B75</f>
        <v>6.3199029324760971</v>
      </c>
      <c r="C83" s="36">
        <f>+'1. Portfolio Detail'!C75</f>
        <v>1.2279061281115403E-2</v>
      </c>
      <c r="D83" s="24">
        <f>+'1. Portfolio Detail'!D75</f>
        <v>0.4899126991343784</v>
      </c>
      <c r="E83" s="37">
        <f t="shared" si="6"/>
        <v>3.8018438182025049E-2</v>
      </c>
      <c r="F83" s="27">
        <f t="shared" si="7"/>
        <v>1.2128285935170015E-2</v>
      </c>
      <c r="G83" s="38">
        <f>+(D83-'2. Working sheet'!$C$5)^2</f>
        <v>1.8246386872230699E-3</v>
      </c>
      <c r="H83" s="30">
        <f t="shared" si="8"/>
        <v>0.34228962797757084</v>
      </c>
      <c r="I83" s="39">
        <f>+'1. Portfolio Detail'!E75</f>
        <v>0.11074412352754875</v>
      </c>
      <c r="J83" s="30">
        <f t="shared" si="5"/>
        <v>0.69989211103625049</v>
      </c>
      <c r="K83" s="6"/>
    </row>
    <row r="84" spans="1:11" x14ac:dyDescent="0.3">
      <c r="A84" s="21">
        <v>75</v>
      </c>
      <c r="B84" s="58">
        <f>+'1. Portfolio Detail'!B76</f>
        <v>1.0413124437954882</v>
      </c>
      <c r="C84" s="36">
        <f>+'1. Portfolio Detail'!C76</f>
        <v>4.3680320905037082E-2</v>
      </c>
      <c r="D84" s="24">
        <f>+'1. Portfolio Detail'!D76</f>
        <v>0.6128320693544691</v>
      </c>
      <c r="E84" s="37">
        <f t="shared" si="6"/>
        <v>2.7874581924444919E-2</v>
      </c>
      <c r="F84" s="27">
        <f t="shared" si="7"/>
        <v>4.1772350470670065E-2</v>
      </c>
      <c r="G84" s="38">
        <f>+(D84-'2. Working sheet'!$C$5)^2</f>
        <v>2.7435006192170288E-2</v>
      </c>
      <c r="H84" s="30">
        <f t="shared" si="8"/>
        <v>0.13531663971641686</v>
      </c>
      <c r="I84" s="39">
        <f>+'1. Portfolio Detail'!E76</f>
        <v>0.13623491948657335</v>
      </c>
      <c r="J84" s="30">
        <f t="shared" si="5"/>
        <v>0.14186311694084527</v>
      </c>
      <c r="K84" s="6"/>
    </row>
    <row r="85" spans="1:11" x14ac:dyDescent="0.3">
      <c r="A85" s="21">
        <v>76</v>
      </c>
      <c r="B85" s="58">
        <f>+'1. Portfolio Detail'!B77</f>
        <v>10.390369034934245</v>
      </c>
      <c r="C85" s="36">
        <f>+'1. Portfolio Detail'!C77</f>
        <v>3.9221079323609319E-2</v>
      </c>
      <c r="D85" s="24">
        <f>+'1. Portfolio Detail'!D77</f>
        <v>0.55158045878683415</v>
      </c>
      <c r="E85" s="37">
        <f t="shared" si="6"/>
        <v>0.22478088938312565</v>
      </c>
      <c r="F85" s="27">
        <f t="shared" si="7"/>
        <v>3.7682786260300465E-2</v>
      </c>
      <c r="G85" s="38">
        <f>+(D85-'2. Working sheet'!$C$5)^2</f>
        <v>1.0895925369376882E-2</v>
      </c>
      <c r="H85" s="30">
        <f t="shared" si="8"/>
        <v>1.1330743225697708</v>
      </c>
      <c r="I85" s="39">
        <f>+'1. Portfolio Detail'!E77</f>
        <v>0.10551854286332567</v>
      </c>
      <c r="J85" s="30">
        <f t="shared" si="5"/>
        <v>1.0963766003784809</v>
      </c>
      <c r="K85" s="6"/>
    </row>
    <row r="86" spans="1:11" x14ac:dyDescent="0.3">
      <c r="A86" s="21">
        <v>77</v>
      </c>
      <c r="B86" s="58">
        <f>+'1. Portfolio Detail'!B78</f>
        <v>7.6282329803220286</v>
      </c>
      <c r="C86" s="36">
        <f>+'1. Portfolio Detail'!C78</f>
        <v>5.3480651284804309E-2</v>
      </c>
      <c r="D86" s="24">
        <f>+'1. Portfolio Detail'!D78</f>
        <v>0.22903941923322435</v>
      </c>
      <c r="E86" s="37">
        <f t="shared" si="6"/>
        <v>9.3439578341662902E-2</v>
      </c>
      <c r="F86" s="27">
        <f t="shared" si="7"/>
        <v>5.0620471222957472E-2</v>
      </c>
      <c r="G86" s="38">
        <f>+(D86-'2. Working sheet'!$C$5)^2</f>
        <v>4.7592690543489323E-2</v>
      </c>
      <c r="H86" s="30">
        <f t="shared" si="8"/>
        <v>0.55012149688140322</v>
      </c>
      <c r="I86" s="39">
        <f>+'1. Portfolio Detail'!E78</f>
        <v>0.1011601167988487</v>
      </c>
      <c r="J86" s="30">
        <f t="shared" si="5"/>
        <v>0.77167293925820613</v>
      </c>
      <c r="K86" s="6"/>
    </row>
    <row r="87" spans="1:11" x14ac:dyDescent="0.3">
      <c r="A87" s="21">
        <v>78</v>
      </c>
      <c r="B87" s="58">
        <f>+'1. Portfolio Detail'!B79</f>
        <v>10.932476153502993</v>
      </c>
      <c r="C87" s="36">
        <f>+'1. Portfolio Detail'!C79</f>
        <v>1.0870188362631901E-2</v>
      </c>
      <c r="D87" s="24">
        <f>+'1. Portfolio Detail'!D79</f>
        <v>0.2246684297905045</v>
      </c>
      <c r="E87" s="37">
        <f t="shared" si="6"/>
        <v>2.6699163722732566E-2</v>
      </c>
      <c r="F87" s="27">
        <f t="shared" si="7"/>
        <v>1.0752027367592804E-2</v>
      </c>
      <c r="G87" s="38">
        <f>+(D87-'2. Working sheet'!$C$5)^2</f>
        <v>4.9518924265489608E-2</v>
      </c>
      <c r="H87" s="30">
        <f t="shared" si="8"/>
        <v>0.3594438438572678</v>
      </c>
      <c r="I87" s="39">
        <f>+'1. Portfolio Detail'!E79</f>
        <v>0.12164701366846634</v>
      </c>
      <c r="J87" s="30">
        <f t="shared" si="5"/>
        <v>1.3299030760753607</v>
      </c>
      <c r="K87" s="6"/>
    </row>
    <row r="88" spans="1:11" x14ac:dyDescent="0.3">
      <c r="A88" s="21">
        <v>79</v>
      </c>
      <c r="B88" s="58">
        <f>+'1. Portfolio Detail'!B80</f>
        <v>6.4904765563408242</v>
      </c>
      <c r="C88" s="36">
        <f>+'1. Portfolio Detail'!C80</f>
        <v>2.4968299520919099E-2</v>
      </c>
      <c r="D88" s="24">
        <f>+'1. Portfolio Detail'!D80</f>
        <v>0.69029541274852779</v>
      </c>
      <c r="E88" s="37">
        <f t="shared" si="6"/>
        <v>0.11186662571406944</v>
      </c>
      <c r="F88" s="27">
        <f t="shared" si="7"/>
        <v>2.4344883539952771E-2</v>
      </c>
      <c r="G88" s="38">
        <f>+(D88-'2. Working sheet'!$C$5)^2</f>
        <v>5.9096882299513702E-2</v>
      </c>
      <c r="H88" s="30">
        <f t="shared" si="8"/>
        <v>0.7421903080785125</v>
      </c>
      <c r="I88" s="39">
        <f>+'1. Portfolio Detail'!E80</f>
        <v>0.11933072113471194</v>
      </c>
      <c r="J88" s="30">
        <f t="shared" si="5"/>
        <v>0.77451324797609233</v>
      </c>
      <c r="K88" s="6"/>
    </row>
    <row r="89" spans="1:11" x14ac:dyDescent="0.3">
      <c r="A89" s="21">
        <v>80</v>
      </c>
      <c r="B89" s="58">
        <f>+'1. Portfolio Detail'!B81</f>
        <v>4.2203536777115485</v>
      </c>
      <c r="C89" s="36">
        <f>+'1. Portfolio Detail'!C81</f>
        <v>3.5662444226601267E-2</v>
      </c>
      <c r="D89" s="24">
        <f>+'1. Portfolio Detail'!D81</f>
        <v>0.33517539806233332</v>
      </c>
      <c r="E89" s="37">
        <f t="shared" si="6"/>
        <v>5.0446621596007934E-2</v>
      </c>
      <c r="F89" s="27">
        <f t="shared" si="7"/>
        <v>3.4390634298385819E-2</v>
      </c>
      <c r="G89" s="38">
        <f>+(D89-'2. Working sheet'!$C$5)^2</f>
        <v>1.2548819016558846E-2</v>
      </c>
      <c r="H89" s="30">
        <f t="shared" si="8"/>
        <v>0.27710255481191859</v>
      </c>
      <c r="I89" s="39">
        <f>+'1. Portfolio Detail'!E81</f>
        <v>0.13237319550437771</v>
      </c>
      <c r="J89" s="30">
        <f t="shared" si="5"/>
        <v>0.55866170247733027</v>
      </c>
      <c r="K89" s="6"/>
    </row>
    <row r="90" spans="1:11" x14ac:dyDescent="0.3">
      <c r="A90" s="21">
        <v>81</v>
      </c>
      <c r="B90" s="58">
        <f>+'1. Portfolio Detail'!B82</f>
        <v>7.5032704384548854</v>
      </c>
      <c r="C90" s="36">
        <f>+'1. Portfolio Detail'!C82</f>
        <v>2.6967058719719314E-2</v>
      </c>
      <c r="D90" s="24">
        <f>+'1. Portfolio Detail'!D82</f>
        <v>0.65168796537799534</v>
      </c>
      <c r="E90" s="37">
        <f t="shared" si="6"/>
        <v>0.13186328225702215</v>
      </c>
      <c r="F90" s="27">
        <f t="shared" si="7"/>
        <v>2.6239836463726525E-2</v>
      </c>
      <c r="G90" s="38">
        <f>+(D90-'2. Working sheet'!$C$5)^2</f>
        <v>4.1816591949103518E-2</v>
      </c>
      <c r="H90" s="30">
        <f t="shared" si="8"/>
        <v>0.83119358060592918</v>
      </c>
      <c r="I90" s="39">
        <f>+'1. Portfolio Detail'!E82</f>
        <v>0.10067927682232317</v>
      </c>
      <c r="J90" s="30">
        <f t="shared" si="5"/>
        <v>0.75542384154595354</v>
      </c>
      <c r="K90" s="6"/>
    </row>
    <row r="91" spans="1:11" x14ac:dyDescent="0.3">
      <c r="A91" s="21">
        <v>82</v>
      </c>
      <c r="B91" s="58">
        <f>+'1. Portfolio Detail'!B83</f>
        <v>1.6071629117449462</v>
      </c>
      <c r="C91" s="36">
        <f>+'1. Portfolio Detail'!C83</f>
        <v>1.8815576231867477E-2</v>
      </c>
      <c r="D91" s="24">
        <f>+'1. Portfolio Detail'!D83</f>
        <v>0.65605080246849312</v>
      </c>
      <c r="E91" s="37">
        <f t="shared" si="6"/>
        <v>1.9838777012844099E-2</v>
      </c>
      <c r="F91" s="27">
        <f t="shared" si="7"/>
        <v>1.8461550322930263E-2</v>
      </c>
      <c r="G91" s="38">
        <f>+(D91-'2. Working sheet'!$C$5)^2</f>
        <v>4.3619948623421043E-2</v>
      </c>
      <c r="H91" s="30">
        <f t="shared" si="8"/>
        <v>0.15047915993076</v>
      </c>
      <c r="I91" s="39">
        <f>+'1. Portfolio Detail'!E83</f>
        <v>0.13973602197883542</v>
      </c>
      <c r="J91" s="30">
        <f t="shared" si="5"/>
        <v>0.22457855195916093</v>
      </c>
      <c r="K91" s="6"/>
    </row>
    <row r="92" spans="1:11" x14ac:dyDescent="0.3">
      <c r="A92" s="21">
        <v>83</v>
      </c>
      <c r="B92" s="58">
        <f>+'1. Portfolio Detail'!B84</f>
        <v>6.7506477987089628</v>
      </c>
      <c r="C92" s="36">
        <f>+'1. Portfolio Detail'!C84</f>
        <v>3.2925012514916363E-2</v>
      </c>
      <c r="D92" s="24">
        <f>+'1. Portfolio Detail'!D84</f>
        <v>0.34616762559222491</v>
      </c>
      <c r="E92" s="37">
        <f t="shared" si="6"/>
        <v>7.6941003816296483E-2</v>
      </c>
      <c r="F92" s="27">
        <f t="shared" si="7"/>
        <v>3.1840956065808966E-2</v>
      </c>
      <c r="G92" s="38">
        <f>+(D92-'2. Working sheet'!$C$5)^2</f>
        <v>1.0206916199504019E-2</v>
      </c>
      <c r="H92" s="30">
        <f t="shared" si="8"/>
        <v>0.43496541149365109</v>
      </c>
      <c r="I92" s="39">
        <f>+'1. Portfolio Detail'!E84</f>
        <v>0.1320235067564923</v>
      </c>
      <c r="J92" s="30">
        <f t="shared" si="5"/>
        <v>0.89124419526355259</v>
      </c>
      <c r="K92" s="6"/>
    </row>
    <row r="93" spans="1:11" x14ac:dyDescent="0.3">
      <c r="A93" s="21">
        <v>84</v>
      </c>
      <c r="B93" s="58">
        <f>+'1. Portfolio Detail'!B85</f>
        <v>2.4725346173984621</v>
      </c>
      <c r="C93" s="36">
        <f>+'1. Portfolio Detail'!C85</f>
        <v>2.0879036035778949E-2</v>
      </c>
      <c r="D93" s="24">
        <f>+'1. Portfolio Detail'!D85</f>
        <v>0.66212402721431252</v>
      </c>
      <c r="E93" s="37">
        <f t="shared" si="6"/>
        <v>3.4181583065357332E-2</v>
      </c>
      <c r="F93" s="27">
        <f t="shared" si="7"/>
        <v>2.0443101889995593E-2</v>
      </c>
      <c r="G93" s="38">
        <f>+(D93-'2. Working sheet'!$C$5)^2</f>
        <v>4.6193665944753881E-2</v>
      </c>
      <c r="H93" s="30">
        <f t="shared" si="8"/>
        <v>0.24634813341842329</v>
      </c>
      <c r="I93" s="39">
        <f>+'1. Portfolio Detail'!E85</f>
        <v>0.10002649397962075</v>
      </c>
      <c r="J93" s="30">
        <f t="shared" si="5"/>
        <v>0.24731896902161118</v>
      </c>
      <c r="K93" s="6"/>
    </row>
    <row r="94" spans="1:11" x14ac:dyDescent="0.3">
      <c r="A94" s="21">
        <v>85</v>
      </c>
      <c r="B94" s="58">
        <f>+'1. Portfolio Detail'!B86</f>
        <v>4.3598091117805975</v>
      </c>
      <c r="C94" s="36">
        <f>+'1. Portfolio Detail'!C86</f>
        <v>5.0851557829304547E-2</v>
      </c>
      <c r="D94" s="24">
        <f>+'1. Portfolio Detail'!D86</f>
        <v>0.34106067816254171</v>
      </c>
      <c r="E94" s="37">
        <f t="shared" si="6"/>
        <v>7.5614204579640118E-2</v>
      </c>
      <c r="F94" s="27">
        <f t="shared" si="7"/>
        <v>4.8265676895637447E-2</v>
      </c>
      <c r="G94" s="38">
        <f>+(D94-'2. Working sheet'!$C$5)^2</f>
        <v>1.1264899594729899E-2</v>
      </c>
      <c r="H94" s="30">
        <f t="shared" si="8"/>
        <v>0.34293761854643945</v>
      </c>
      <c r="I94" s="39">
        <f>+'1. Portfolio Detail'!E86</f>
        <v>0.13538012546279188</v>
      </c>
      <c r="J94" s="30">
        <f t="shared" si="5"/>
        <v>0.5902315045466805</v>
      </c>
      <c r="K94" s="6"/>
    </row>
    <row r="95" spans="1:11" x14ac:dyDescent="0.3">
      <c r="A95" s="21">
        <v>86</v>
      </c>
      <c r="B95" s="58">
        <f>+'1. Portfolio Detail'!B87</f>
        <v>3.5286804008345101</v>
      </c>
      <c r="C95" s="36">
        <f>+'1. Portfolio Detail'!C87</f>
        <v>5.7702934543936872E-2</v>
      </c>
      <c r="D95" s="24">
        <f>+'1. Portfolio Detail'!D87</f>
        <v>0.42962505681095808</v>
      </c>
      <c r="E95" s="37">
        <f t="shared" si="6"/>
        <v>8.7478197966457422E-2</v>
      </c>
      <c r="F95" s="27">
        <f t="shared" si="7"/>
        <v>5.4373305888955011E-2</v>
      </c>
      <c r="G95" s="38">
        <f>+(D95-'2. Working sheet'!$C$5)^2</f>
        <v>3.0877000563591945E-4</v>
      </c>
      <c r="H95" s="30">
        <f t="shared" si="8"/>
        <v>0.35381802480844166</v>
      </c>
      <c r="I95" s="39">
        <f>+'1. Portfolio Detail'!E87</f>
        <v>0.10980279635119557</v>
      </c>
      <c r="J95" s="30">
        <f t="shared" si="5"/>
        <v>0.38745897544128688</v>
      </c>
      <c r="K95" s="6"/>
    </row>
    <row r="96" spans="1:11" x14ac:dyDescent="0.3">
      <c r="A96" s="21">
        <v>87</v>
      </c>
      <c r="B96" s="58">
        <f>+'1. Portfolio Detail'!B88</f>
        <v>2.6810414577976776</v>
      </c>
      <c r="C96" s="36">
        <f>+'1. Portfolio Detail'!C88</f>
        <v>3.0008868947872594E-2</v>
      </c>
      <c r="D96" s="24">
        <f>+'1. Portfolio Detail'!D88</f>
        <v>0.42656939327163235</v>
      </c>
      <c r="E96" s="37">
        <f t="shared" si="6"/>
        <v>3.4319649813921958E-2</v>
      </c>
      <c r="F96" s="27">
        <f t="shared" si="7"/>
        <v>2.9108336732342002E-2</v>
      </c>
      <c r="G96" s="38">
        <f>+(D96-'2. Working sheet'!$C$5)^2</f>
        <v>4.2549442423786787E-4</v>
      </c>
      <c r="H96" s="30">
        <f t="shared" si="8"/>
        <v>0.19535510615413743</v>
      </c>
      <c r="I96" s="39">
        <f>+'1. Portfolio Detail'!E88</f>
        <v>0.13196662285067839</v>
      </c>
      <c r="J96" s="30">
        <f t="shared" si="5"/>
        <v>0.35380798690821913</v>
      </c>
      <c r="K96" s="6"/>
    </row>
    <row r="97" spans="1:11" x14ac:dyDescent="0.3">
      <c r="A97" s="21">
        <v>88</v>
      </c>
      <c r="B97" s="58">
        <f>+'1. Portfolio Detail'!B89</f>
        <v>6.1801900119593309</v>
      </c>
      <c r="C97" s="36">
        <f>+'1. Portfolio Detail'!C89</f>
        <v>5.7983949502188034E-2</v>
      </c>
      <c r="D97" s="24">
        <f>+'1. Portfolio Detail'!D89</f>
        <v>0.24529615989531661</v>
      </c>
      <c r="E97" s="37">
        <f t="shared" si="6"/>
        <v>8.7902326703153844E-2</v>
      </c>
      <c r="F97" s="27">
        <f t="shared" si="7"/>
        <v>5.4621811102315745E-2</v>
      </c>
      <c r="G97" s="38">
        <f>+(D97-'2. Working sheet'!$C$5)^2</f>
        <v>4.0763912676117037E-2</v>
      </c>
      <c r="H97" s="30">
        <f t="shared" si="8"/>
        <v>0.46455375853823944</v>
      </c>
      <c r="I97" s="39">
        <f>+'1. Portfolio Detail'!E89</f>
        <v>0.12244750285210446</v>
      </c>
      <c r="J97" s="30">
        <f t="shared" si="5"/>
        <v>0.75674883411593763</v>
      </c>
      <c r="K97" s="6"/>
    </row>
    <row r="98" spans="1:11" x14ac:dyDescent="0.3">
      <c r="A98" s="21">
        <v>89</v>
      </c>
      <c r="B98" s="58">
        <f>+'1. Portfolio Detail'!B90</f>
        <v>4.0840100182008765</v>
      </c>
      <c r="C98" s="36">
        <f>+'1. Portfolio Detail'!C90</f>
        <v>5.2498773572615759E-2</v>
      </c>
      <c r="D98" s="24">
        <f>+'1. Portfolio Detail'!D90</f>
        <v>0.47841175237598021</v>
      </c>
      <c r="E98" s="37">
        <f t="shared" si="6"/>
        <v>0.10257411920934306</v>
      </c>
      <c r="F98" s="27">
        <f t="shared" si="7"/>
        <v>4.974265234598698E-2</v>
      </c>
      <c r="G98" s="38">
        <f>+(D98-'2. Working sheet'!$C$5)^2</f>
        <v>9.7436641806276252E-4</v>
      </c>
      <c r="H98" s="30">
        <f t="shared" si="8"/>
        <v>0.43674362111988257</v>
      </c>
      <c r="I98" s="39">
        <f>+'1. Portfolio Detail'!E90</f>
        <v>0.12336372117124106</v>
      </c>
      <c r="J98" s="30">
        <f t="shared" si="5"/>
        <v>0.50381867314588802</v>
      </c>
      <c r="K98" s="6"/>
    </row>
    <row r="99" spans="1:11" x14ac:dyDescent="0.3">
      <c r="A99" s="21">
        <v>90</v>
      </c>
      <c r="B99" s="58">
        <f>+'1. Portfolio Detail'!B91</f>
        <v>8.836820414761176</v>
      </c>
      <c r="C99" s="36">
        <f>+'1. Portfolio Detail'!C91</f>
        <v>1.2635764473106336E-2</v>
      </c>
      <c r="D99" s="24">
        <f>+'1. Portfolio Detail'!D91</f>
        <v>0.5404282094171039</v>
      </c>
      <c r="E99" s="37">
        <f t="shared" si="6"/>
        <v>6.0344203839683849E-2</v>
      </c>
      <c r="F99" s="27">
        <f t="shared" si="7"/>
        <v>1.2476101929286519E-2</v>
      </c>
      <c r="G99" s="38">
        <f>+(D99-'2. Working sheet'!$C$5)^2</f>
        <v>8.6920752910745434E-3</v>
      </c>
      <c r="H99" s="30">
        <f t="shared" si="8"/>
        <v>0.54140469117223256</v>
      </c>
      <c r="I99" s="39">
        <f>+'1. Portfolio Detail'!E91</f>
        <v>0.10524266478295946</v>
      </c>
      <c r="J99" s="30">
        <f t="shared" si="5"/>
        <v>0.93001052865792322</v>
      </c>
      <c r="K99" s="6"/>
    </row>
    <row r="100" spans="1:11" x14ac:dyDescent="0.3">
      <c r="A100" s="21">
        <v>91</v>
      </c>
      <c r="B100" s="58">
        <f>+'1. Portfolio Detail'!B92</f>
        <v>5.1747923692476121</v>
      </c>
      <c r="C100" s="36">
        <f>+'1. Portfolio Detail'!C92</f>
        <v>1.3085501551217717E-2</v>
      </c>
      <c r="D100" s="24">
        <f>+'1. Portfolio Detail'!D92</f>
        <v>0.36883666172921803</v>
      </c>
      <c r="E100" s="37">
        <f t="shared" si="6"/>
        <v>2.4975683658426725E-2</v>
      </c>
      <c r="F100" s="27">
        <f t="shared" si="7"/>
        <v>1.2914271200370796E-2</v>
      </c>
      <c r="G100" s="38">
        <f>+(D100-'2. Working sheet'!$C$5)^2</f>
        <v>6.1403284249480538E-3</v>
      </c>
      <c r="H100" s="30">
        <f t="shared" si="8"/>
        <v>0.22180568866432057</v>
      </c>
      <c r="I100" s="39">
        <f>+'1. Portfolio Detail'!E92</f>
        <v>0.10142017238805404</v>
      </c>
      <c r="J100" s="30">
        <f t="shared" si="5"/>
        <v>0.52482833416147945</v>
      </c>
      <c r="K100" s="6"/>
    </row>
    <row r="101" spans="1:11" x14ac:dyDescent="0.3">
      <c r="A101" s="21">
        <v>92</v>
      </c>
      <c r="B101" s="58">
        <f>+'1. Portfolio Detail'!B93</f>
        <v>7.1639513188156458</v>
      </c>
      <c r="C101" s="36">
        <f>+'1. Portfolio Detail'!C93</f>
        <v>4.9845548787286774E-2</v>
      </c>
      <c r="D101" s="24">
        <f>+'1. Portfolio Detail'!D93</f>
        <v>0.69111517152179447</v>
      </c>
      <c r="E101" s="37">
        <f t="shared" si="6"/>
        <v>0.2467910664391704</v>
      </c>
      <c r="F101" s="27">
        <f t="shared" si="7"/>
        <v>4.7360970053380989E-2</v>
      </c>
      <c r="G101" s="38">
        <f>+(D101-'2. Working sheet'!$C$5)^2</f>
        <v>5.9496118565632167E-2</v>
      </c>
      <c r="H101" s="30">
        <f t="shared" si="8"/>
        <v>1.1459438023238546</v>
      </c>
      <c r="I101" s="39">
        <f>+'1. Portfolio Detail'!E93</f>
        <v>0.11020493789417668</v>
      </c>
      <c r="J101" s="30">
        <f t="shared" si="5"/>
        <v>0.78950281016698332</v>
      </c>
      <c r="K101" s="6"/>
    </row>
    <row r="102" spans="1:11" x14ac:dyDescent="0.3">
      <c r="A102" s="21">
        <v>93</v>
      </c>
      <c r="B102" s="58">
        <f>+'1. Portfolio Detail'!B94</f>
        <v>3.6691814282358681</v>
      </c>
      <c r="C102" s="36">
        <f>+'1. Portfolio Detail'!C94</f>
        <v>5.0411256926503542E-2</v>
      </c>
      <c r="D102" s="24">
        <f>+'1. Portfolio Detail'!D94</f>
        <v>0.60933843535586474</v>
      </c>
      <c r="E102" s="37">
        <f t="shared" si="6"/>
        <v>0.11270814076949408</v>
      </c>
      <c r="F102" s="27">
        <f t="shared" si="7"/>
        <v>4.786996210159359E-2</v>
      </c>
      <c r="G102" s="38">
        <f>+(D102-'2. Working sheet'!$C$5)^2</f>
        <v>2.6289874418766439E-2</v>
      </c>
      <c r="H102" s="30">
        <f t="shared" si="8"/>
        <v>0.50707905726971469</v>
      </c>
      <c r="I102" s="39">
        <f>+'1. Portfolio Detail'!E94</f>
        <v>0.13124098152613256</v>
      </c>
      <c r="J102" s="30">
        <f t="shared" si="5"/>
        <v>0.48154697203913227</v>
      </c>
      <c r="K102" s="6"/>
    </row>
    <row r="103" spans="1:11" x14ac:dyDescent="0.3">
      <c r="A103" s="21">
        <v>94</v>
      </c>
      <c r="B103" s="58">
        <f>+'1. Portfolio Detail'!B95</f>
        <v>4.1683012957365015</v>
      </c>
      <c r="C103" s="36">
        <f>+'1. Portfolio Detail'!C95</f>
        <v>5.8145477038991644E-2</v>
      </c>
      <c r="D103" s="24">
        <f>+'1. Portfolio Detail'!D95</f>
        <v>0.47619805291810435</v>
      </c>
      <c r="E103" s="37">
        <f t="shared" si="6"/>
        <v>0.11541510649000473</v>
      </c>
      <c r="F103" s="27">
        <f t="shared" si="7"/>
        <v>5.4764580538899738E-2</v>
      </c>
      <c r="G103" s="38">
        <f>+(D103-'2. Working sheet'!$C$5)^2</f>
        <v>8.4106632168563995E-4</v>
      </c>
      <c r="H103" s="30">
        <f t="shared" si="8"/>
        <v>0.46542535547273223</v>
      </c>
      <c r="I103" s="39">
        <f>+'1. Portfolio Detail'!E95</f>
        <v>0.11979545083685306</v>
      </c>
      <c r="J103" s="30">
        <f t="shared" si="5"/>
        <v>0.49934353294659295</v>
      </c>
      <c r="K103" s="6"/>
    </row>
    <row r="104" spans="1:11" x14ac:dyDescent="0.3">
      <c r="A104" s="21">
        <v>95</v>
      </c>
      <c r="B104" s="58">
        <f>+'1. Portfolio Detail'!B96</f>
        <v>2.1463075591611704</v>
      </c>
      <c r="C104" s="36">
        <f>+'1. Portfolio Detail'!C96</f>
        <v>3.2572506188292945E-2</v>
      </c>
      <c r="D104" s="24">
        <f>+'1. Portfolio Detail'!D96</f>
        <v>0.44802418381057518</v>
      </c>
      <c r="E104" s="37">
        <f t="shared" si="6"/>
        <v>3.1321646786335852E-2</v>
      </c>
      <c r="F104" s="27">
        <f t="shared" si="7"/>
        <v>3.1511538028906563E-2</v>
      </c>
      <c r="G104" s="38">
        <f>+(D104-'2. Working sheet'!$C$5)^2</f>
        <v>6.8438284564527625E-7</v>
      </c>
      <c r="H104" s="30">
        <f t="shared" si="8"/>
        <v>0.17069821441924735</v>
      </c>
      <c r="I104" s="39">
        <f>+'1. Portfolio Detail'!E96</f>
        <v>0.13526842062904687</v>
      </c>
      <c r="J104" s="30">
        <f t="shared" si="5"/>
        <v>0.29032763371191611</v>
      </c>
      <c r="K104" s="6"/>
    </row>
    <row r="105" spans="1:11" x14ac:dyDescent="0.3">
      <c r="A105" s="21">
        <v>96</v>
      </c>
      <c r="B105" s="58">
        <f>+'1. Portfolio Detail'!B97</f>
        <v>9.5160575448490228</v>
      </c>
      <c r="C105" s="36">
        <f>+'1. Portfolio Detail'!C97</f>
        <v>5.2432685396596533E-2</v>
      </c>
      <c r="D105" s="24">
        <f>+'1. Portfolio Detail'!D97</f>
        <v>0.27749968198730535</v>
      </c>
      <c r="E105" s="37">
        <f t="shared" si="6"/>
        <v>0.13845914660831771</v>
      </c>
      <c r="F105" s="27">
        <f t="shared" si="7"/>
        <v>4.9683498898698067E-2</v>
      </c>
      <c r="G105" s="38">
        <f>+(D105-'2. Working sheet'!$C$5)^2</f>
        <v>2.8797149013042408E-2</v>
      </c>
      <c r="H105" s="30">
        <f t="shared" si="8"/>
        <v>0.69511807546856752</v>
      </c>
      <c r="I105" s="39">
        <f>+'1. Portfolio Detail'!E97</f>
        <v>0.11665115624996511</v>
      </c>
      <c r="J105" s="30">
        <f t="shared" si="5"/>
        <v>1.1100591155478428</v>
      </c>
      <c r="K105" s="6"/>
    </row>
    <row r="106" spans="1:11" x14ac:dyDescent="0.3">
      <c r="A106" s="21">
        <v>97</v>
      </c>
      <c r="B106" s="58">
        <f>+'1. Portfolio Detail'!B98</f>
        <v>10.335128386225792</v>
      </c>
      <c r="C106" s="36">
        <f>+'1. Portfolio Detail'!C98</f>
        <v>4.4779252151959749E-2</v>
      </c>
      <c r="D106" s="24">
        <f>+'1. Portfolio Detail'!D98</f>
        <v>0.42073014950101695</v>
      </c>
      <c r="E106" s="37">
        <f t="shared" si="6"/>
        <v>0.19471362710505694</v>
      </c>
      <c r="F106" s="27">
        <f t="shared" si="7"/>
        <v>4.2774070728670954E-2</v>
      </c>
      <c r="G106" s="38">
        <f>+(D106-'2. Working sheet'!$C$5)^2</f>
        <v>7.0048938290156678E-4</v>
      </c>
      <c r="H106" s="30">
        <f t="shared" si="8"/>
        <v>0.90117167832694922</v>
      </c>
      <c r="I106" s="39">
        <f>+'1. Portfolio Detail'!E98</f>
        <v>0.13421198420795918</v>
      </c>
      <c r="J106" s="30">
        <f t="shared" ref="J106:J109" si="9">+I106*B106</f>
        <v>1.3870980877593666</v>
      </c>
      <c r="K106" s="6"/>
    </row>
    <row r="107" spans="1:11" x14ac:dyDescent="0.3">
      <c r="A107" s="21">
        <v>98</v>
      </c>
      <c r="B107" s="58">
        <f>+'1. Portfolio Detail'!B99</f>
        <v>3.2827689510927476</v>
      </c>
      <c r="C107" s="36">
        <f>+'1. Portfolio Detail'!C99</f>
        <v>5.1115027311982954E-2</v>
      </c>
      <c r="D107" s="24">
        <f>+'1. Portfolio Detail'!D99</f>
        <v>0.67895755809370006</v>
      </c>
      <c r="E107" s="37">
        <f t="shared" si="6"/>
        <v>0.11392828019735939</v>
      </c>
      <c r="F107" s="27">
        <f t="shared" si="7"/>
        <v>4.8502281294878193E-2</v>
      </c>
      <c r="G107" s="38">
        <f>+(D107-'2. Working sheet'!$C$5)^2</f>
        <v>5.3712998253579752E-2</v>
      </c>
      <c r="H107" s="30">
        <f t="shared" si="8"/>
        <v>0.52013281756997276</v>
      </c>
      <c r="I107" s="39">
        <f>+'1. Portfolio Detail'!E99</f>
        <v>0.11310563310437757</v>
      </c>
      <c r="J107" s="30">
        <f t="shared" si="9"/>
        <v>0.3712996605487387</v>
      </c>
      <c r="K107" s="6"/>
    </row>
    <row r="108" spans="1:11" x14ac:dyDescent="0.3">
      <c r="A108" s="21">
        <v>99</v>
      </c>
      <c r="B108" s="58">
        <f>+'1. Portfolio Detail'!B100</f>
        <v>10.83290271438835</v>
      </c>
      <c r="C108" s="36">
        <f>+'1. Portfolio Detail'!C100</f>
        <v>2.96340928516063E-2</v>
      </c>
      <c r="D108" s="24">
        <f>+'1. Portfolio Detail'!D100</f>
        <v>0.62216876669906396</v>
      </c>
      <c r="E108" s="37">
        <f t="shared" si="6"/>
        <v>0.19973063635531763</v>
      </c>
      <c r="F108" s="27">
        <f t="shared" si="7"/>
        <v>2.8755913392468677E-2</v>
      </c>
      <c r="G108" s="38">
        <f>+(D108-'2. Working sheet'!$C$5)^2</f>
        <v>3.0615150824529539E-2</v>
      </c>
      <c r="H108" s="30">
        <f t="shared" si="8"/>
        <v>1.1885868075871895</v>
      </c>
      <c r="I108" s="39">
        <f>+'1. Portfolio Detail'!E100</f>
        <v>0.11477011468572759</v>
      </c>
      <c r="J108" s="30">
        <f t="shared" si="9"/>
        <v>1.2432934869096808</v>
      </c>
      <c r="K108" s="6"/>
    </row>
    <row r="109" spans="1:11" x14ac:dyDescent="0.3">
      <c r="A109" s="22">
        <v>100</v>
      </c>
      <c r="B109" s="59">
        <f>+'1. Portfolio Detail'!B101</f>
        <v>4.1876166894992117</v>
      </c>
      <c r="C109" s="40">
        <f>+'1. Portfolio Detail'!C101</f>
        <v>4.5849843442694431E-2</v>
      </c>
      <c r="D109" s="25">
        <f>+'1. Portfolio Detail'!D101</f>
        <v>0.62765712114478645</v>
      </c>
      <c r="E109" s="41">
        <f t="shared" si="6"/>
        <v>0.1205111524376678</v>
      </c>
      <c r="F109" s="28">
        <f t="shared" si="7"/>
        <v>4.3747635298974845E-2</v>
      </c>
      <c r="G109" s="42">
        <f>+(D109-'2. Working sheet'!$C$5)^2</f>
        <v>3.2565888000123777E-2</v>
      </c>
      <c r="H109" s="31">
        <f t="shared" si="8"/>
        <v>0.57307153017914203</v>
      </c>
      <c r="I109" s="43">
        <f>+'1. Portfolio Detail'!E101</f>
        <v>0.12479544093419508</v>
      </c>
      <c r="J109" s="31">
        <f t="shared" si="9"/>
        <v>0.52259547122944838</v>
      </c>
      <c r="K109" s="6"/>
    </row>
    <row r="111" spans="1:11" x14ac:dyDescent="0.3">
      <c r="J111" s="2"/>
    </row>
    <row r="112" spans="1:11" x14ac:dyDescent="0.3">
      <c r="J112" s="6"/>
    </row>
  </sheetData>
  <autoFilter ref="A9:J109" xr:uid="{E33DA542-3619-4DFF-A5B1-D5C115C59CE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BC9B1-A601-4B0E-AE9A-5BB3C3E23157}">
  <dimension ref="A1:F27"/>
  <sheetViews>
    <sheetView showGridLines="0" tabSelected="1" topLeftCell="A7" workbookViewId="0">
      <selection activeCell="B27" sqref="B27"/>
    </sheetView>
  </sheetViews>
  <sheetFormatPr defaultRowHeight="14.4" x14ac:dyDescent="0.3"/>
  <cols>
    <col min="1" max="1" width="27.5546875" bestFit="1" customWidth="1"/>
    <col min="2" max="2" width="12.5546875" bestFit="1" customWidth="1"/>
    <col min="3" max="3" width="16.88671875" bestFit="1" customWidth="1"/>
    <col min="4" max="4" width="19.109375" bestFit="1" customWidth="1"/>
  </cols>
  <sheetData>
    <row r="1" spans="1:6" x14ac:dyDescent="0.3">
      <c r="A1" s="3" t="s">
        <v>22</v>
      </c>
      <c r="F1" s="6"/>
    </row>
    <row r="2" spans="1:6" x14ac:dyDescent="0.3">
      <c r="B2" t="s">
        <v>11</v>
      </c>
      <c r="C2" t="s">
        <v>10</v>
      </c>
      <c r="D2" t="s">
        <v>12</v>
      </c>
    </row>
    <row r="3" spans="1:6" x14ac:dyDescent="0.3">
      <c r="A3" t="s">
        <v>8</v>
      </c>
      <c r="B3">
        <v>3000</v>
      </c>
      <c r="C3" s="5">
        <v>0.1</v>
      </c>
      <c r="D3">
        <f>+C3*B3</f>
        <v>300</v>
      </c>
    </row>
    <row r="4" spans="1:6" x14ac:dyDescent="0.3">
      <c r="A4" t="s">
        <v>9</v>
      </c>
      <c r="B4">
        <v>2000</v>
      </c>
      <c r="C4" s="5">
        <v>0.09</v>
      </c>
      <c r="D4">
        <f>+C4*B4</f>
        <v>180</v>
      </c>
    </row>
    <row r="5" spans="1:6" ht="15" thickBot="1" x14ac:dyDescent="0.35">
      <c r="B5" s="7">
        <f>SUM(B3:B4)</f>
        <v>5000</v>
      </c>
      <c r="D5" s="7">
        <f>SUM(D3:D4)</f>
        <v>480</v>
      </c>
    </row>
    <row r="6" spans="1:6" ht="15" thickTop="1" x14ac:dyDescent="0.3">
      <c r="D6" s="1">
        <f>+D5/B5</f>
        <v>9.6000000000000002E-2</v>
      </c>
    </row>
    <row r="7" spans="1:6" x14ac:dyDescent="0.3">
      <c r="A7" s="3" t="s">
        <v>39</v>
      </c>
      <c r="D7" s="1"/>
    </row>
    <row r="8" spans="1:6" x14ac:dyDescent="0.3">
      <c r="A8" t="s">
        <v>19</v>
      </c>
      <c r="B8" s="4">
        <v>0.99970000000000003</v>
      </c>
      <c r="D8" s="1"/>
    </row>
    <row r="9" spans="1:6" x14ac:dyDescent="0.3">
      <c r="A9" t="s">
        <v>20</v>
      </c>
      <c r="B9" s="2">
        <f>+_xlfn.NORM.S.INV(B8)</f>
        <v>3.4316144036232998</v>
      </c>
      <c r="D9" s="1"/>
    </row>
    <row r="10" spans="1:6" x14ac:dyDescent="0.3">
      <c r="A10" t="s">
        <v>40</v>
      </c>
      <c r="B10" s="6">
        <f>+'2. Working sheet'!H8*B9</f>
        <v>169.41630768279137</v>
      </c>
      <c r="D10" s="1"/>
    </row>
    <row r="13" spans="1:6" x14ac:dyDescent="0.3">
      <c r="A13" s="3" t="s">
        <v>23</v>
      </c>
    </row>
    <row r="14" spans="1:6" x14ac:dyDescent="0.3">
      <c r="A14" t="s">
        <v>7</v>
      </c>
      <c r="B14" s="2">
        <f>+'2. Working sheet'!J8</f>
        <v>68.833738831983155</v>
      </c>
      <c r="C14" s="2"/>
    </row>
    <row r="15" spans="1:6" x14ac:dyDescent="0.3">
      <c r="A15" t="s">
        <v>13</v>
      </c>
      <c r="B15" s="2">
        <f>+'2. Working sheet'!$B$8*0.09</f>
        <v>52.593660220272191</v>
      </c>
      <c r="C15" s="1"/>
    </row>
    <row r="16" spans="1:6" x14ac:dyDescent="0.3">
      <c r="A16" t="s">
        <v>14</v>
      </c>
      <c r="B16" s="41">
        <f>+'2. Working sheet'!$E$8</f>
        <v>9.007556776357184</v>
      </c>
      <c r="C16" s="2"/>
    </row>
    <row r="17" spans="1:5" x14ac:dyDescent="0.3">
      <c r="A17" t="s">
        <v>44</v>
      </c>
      <c r="B17" s="6">
        <f>+B14-B15-B16</f>
        <v>7.2325218353537792</v>
      </c>
    </row>
    <row r="18" spans="1:5" x14ac:dyDescent="0.3">
      <c r="A18" t="s">
        <v>46</v>
      </c>
      <c r="B18" s="60">
        <f>+B17*0.3</f>
        <v>2.1697565506061336</v>
      </c>
    </row>
    <row r="19" spans="1:5" x14ac:dyDescent="0.3">
      <c r="A19" t="s">
        <v>45</v>
      </c>
      <c r="B19" s="6">
        <f>+B17-B18</f>
        <v>5.0627652847476456</v>
      </c>
    </row>
    <row r="20" spans="1:5" x14ac:dyDescent="0.3">
      <c r="A20" t="s">
        <v>16</v>
      </c>
      <c r="B20" s="6">
        <f>'3. Decision Maker'!B10</f>
        <v>169.41630768279137</v>
      </c>
    </row>
    <row r="21" spans="1:5" ht="15" thickBot="1" x14ac:dyDescent="0.35">
      <c r="A21" t="s">
        <v>15</v>
      </c>
      <c r="B21" s="61">
        <f>+B19/B20</f>
        <v>2.988357705343794E-2</v>
      </c>
    </row>
    <row r="22" spans="1:5" ht="15" thickTop="1" x14ac:dyDescent="0.3">
      <c r="E22" s="4"/>
    </row>
    <row r="23" spans="1:5" x14ac:dyDescent="0.3">
      <c r="E23" s="2"/>
    </row>
    <row r="24" spans="1:5" x14ac:dyDescent="0.3">
      <c r="A24" s="3" t="s">
        <v>24</v>
      </c>
      <c r="E24" s="6"/>
    </row>
    <row r="25" spans="1:5" x14ac:dyDescent="0.3">
      <c r="A25" t="s">
        <v>25</v>
      </c>
      <c r="B25" s="1">
        <f>+B21-D6</f>
        <v>-6.6116422946562059E-2</v>
      </c>
    </row>
    <row r="26" spans="1:5" x14ac:dyDescent="0.3">
      <c r="A26" t="s">
        <v>21</v>
      </c>
      <c r="B26" t="str">
        <f>+IF(B21&gt;D6,"Yes","No")</f>
        <v>No</v>
      </c>
    </row>
    <row r="27" spans="1:5" x14ac:dyDescent="0.3">
      <c r="A27" t="s">
        <v>18</v>
      </c>
      <c r="B27" t="str">
        <f>+IF(B26="Yes","Yes","No")</f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Portfolio Detail</vt:lpstr>
      <vt:lpstr>2. Working sheet</vt:lpstr>
      <vt:lpstr>3. Decision Maker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Aiswarya Lakshmi V</dc:creator>
  <cp:lastModifiedBy>Aiswarya Lakshmi V</cp:lastModifiedBy>
  <dcterms:created xsi:type="dcterms:W3CDTF">2025-08-25T06:40:42Z</dcterms:created>
  <dcterms:modified xsi:type="dcterms:W3CDTF">2026-10-01T09:35:29Z</dcterms:modified>
</cp:coreProperties>
</file>