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fabfc857bf06b/Desktop/FRM/Projects/"/>
    </mc:Choice>
  </mc:AlternateContent>
  <xr:revisionPtr revIDLastSave="113" documentId="8_{CBC6A415-36E3-4734-8A55-50CCB97483C8}" xr6:coauthVersionLast="47" xr6:coauthVersionMax="47" xr10:uidLastSave="{FFD64321-E48F-4A7F-8754-E88F59BF096D}"/>
  <bookViews>
    <workbookView xWindow="-108" yWindow="-108" windowWidth="23256" windowHeight="12456" activeTab="1" xr2:uid="{6F20B457-271C-46A1-BF4B-16C803349498}"/>
  </bookViews>
  <sheets>
    <sheet name="1. Portfolio Detail" sheetId="1" r:id="rId1"/>
    <sheet name="2. Working 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9" i="2" l="1"/>
  <c r="F109" i="2" s="1"/>
  <c r="H109" i="2" s="1"/>
  <c r="E108" i="2"/>
  <c r="F108" i="2" s="1"/>
  <c r="H108" i="2" s="1"/>
  <c r="E107" i="2"/>
  <c r="F107" i="2" s="1"/>
  <c r="H107" i="2" s="1"/>
  <c r="E106" i="2"/>
  <c r="F106" i="2" s="1"/>
  <c r="H106" i="2" s="1"/>
  <c r="E105" i="2"/>
  <c r="F105" i="2" s="1"/>
  <c r="H105" i="2" s="1"/>
  <c r="E104" i="2"/>
  <c r="F104" i="2" s="1"/>
  <c r="H104" i="2" s="1"/>
  <c r="E103" i="2"/>
  <c r="F103" i="2" s="1"/>
  <c r="H103" i="2" s="1"/>
  <c r="E102" i="2"/>
  <c r="F102" i="2" s="1"/>
  <c r="H102" i="2" s="1"/>
  <c r="E101" i="2"/>
  <c r="F101" i="2" s="1"/>
  <c r="H101" i="2" s="1"/>
  <c r="E100" i="2"/>
  <c r="F100" i="2" s="1"/>
  <c r="H100" i="2" s="1"/>
  <c r="E99" i="2"/>
  <c r="F99" i="2" s="1"/>
  <c r="H99" i="2" s="1"/>
  <c r="E98" i="2"/>
  <c r="F98" i="2" s="1"/>
  <c r="H98" i="2" s="1"/>
  <c r="E97" i="2"/>
  <c r="F97" i="2" s="1"/>
  <c r="H97" i="2" s="1"/>
  <c r="E96" i="2"/>
  <c r="F96" i="2" s="1"/>
  <c r="H96" i="2" s="1"/>
  <c r="E95" i="2"/>
  <c r="F95" i="2" s="1"/>
  <c r="H95" i="2" s="1"/>
  <c r="E94" i="2"/>
  <c r="F94" i="2" s="1"/>
  <c r="H94" i="2" s="1"/>
  <c r="I94" i="2" s="1"/>
  <c r="E93" i="2"/>
  <c r="F93" i="2" s="1"/>
  <c r="H93" i="2" s="1"/>
  <c r="I93" i="2" s="1"/>
  <c r="E92" i="2"/>
  <c r="F92" i="2" s="1"/>
  <c r="H92" i="2" s="1"/>
  <c r="I92" i="2" s="1"/>
  <c r="E91" i="2"/>
  <c r="F91" i="2" s="1"/>
  <c r="H91" i="2" s="1"/>
  <c r="I91" i="2" s="1"/>
  <c r="E90" i="2"/>
  <c r="F90" i="2" s="1"/>
  <c r="H90" i="2" s="1"/>
  <c r="I90" i="2" s="1"/>
  <c r="E89" i="2"/>
  <c r="F89" i="2" s="1"/>
  <c r="H89" i="2" s="1"/>
  <c r="I89" i="2" s="1"/>
  <c r="E88" i="2"/>
  <c r="F88" i="2" s="1"/>
  <c r="H88" i="2" s="1"/>
  <c r="I88" i="2" s="1"/>
  <c r="E87" i="2"/>
  <c r="F87" i="2" s="1"/>
  <c r="H87" i="2" s="1"/>
  <c r="I87" i="2" s="1"/>
  <c r="E86" i="2"/>
  <c r="F86" i="2" s="1"/>
  <c r="H86" i="2" s="1"/>
  <c r="I86" i="2" s="1"/>
  <c r="E85" i="2"/>
  <c r="F85" i="2" s="1"/>
  <c r="H85" i="2" s="1"/>
  <c r="I85" i="2" s="1"/>
  <c r="E84" i="2"/>
  <c r="F84" i="2" s="1"/>
  <c r="H84" i="2" s="1"/>
  <c r="I84" i="2" s="1"/>
  <c r="E83" i="2"/>
  <c r="F83" i="2" s="1"/>
  <c r="H83" i="2" s="1"/>
  <c r="I83" i="2" s="1"/>
  <c r="E82" i="2"/>
  <c r="F82" i="2" s="1"/>
  <c r="H82" i="2" s="1"/>
  <c r="I82" i="2" s="1"/>
  <c r="E81" i="2"/>
  <c r="F81" i="2" s="1"/>
  <c r="H81" i="2" s="1"/>
  <c r="I81" i="2" s="1"/>
  <c r="E80" i="2"/>
  <c r="F80" i="2" s="1"/>
  <c r="H80" i="2" s="1"/>
  <c r="I80" i="2" s="1"/>
  <c r="E79" i="2"/>
  <c r="F79" i="2" s="1"/>
  <c r="H79" i="2" s="1"/>
  <c r="I79" i="2" s="1"/>
  <c r="E78" i="2"/>
  <c r="F78" i="2" s="1"/>
  <c r="H78" i="2" s="1"/>
  <c r="I78" i="2" s="1"/>
  <c r="E77" i="2"/>
  <c r="F77" i="2" s="1"/>
  <c r="H77" i="2" s="1"/>
  <c r="I77" i="2" s="1"/>
  <c r="E76" i="2"/>
  <c r="F76" i="2" s="1"/>
  <c r="H76" i="2" s="1"/>
  <c r="I76" i="2" s="1"/>
  <c r="E75" i="2"/>
  <c r="F75" i="2" s="1"/>
  <c r="H75" i="2" s="1"/>
  <c r="I75" i="2" s="1"/>
  <c r="E74" i="2"/>
  <c r="F74" i="2" s="1"/>
  <c r="H74" i="2" s="1"/>
  <c r="I74" i="2" s="1"/>
  <c r="E73" i="2"/>
  <c r="F73" i="2" s="1"/>
  <c r="H73" i="2" s="1"/>
  <c r="I73" i="2" s="1"/>
  <c r="E72" i="2"/>
  <c r="F72" i="2" s="1"/>
  <c r="H72" i="2" s="1"/>
  <c r="I72" i="2" s="1"/>
  <c r="E71" i="2"/>
  <c r="F71" i="2" s="1"/>
  <c r="H71" i="2" s="1"/>
  <c r="I71" i="2" s="1"/>
  <c r="E70" i="2"/>
  <c r="F70" i="2" s="1"/>
  <c r="H70" i="2" s="1"/>
  <c r="E69" i="2"/>
  <c r="F69" i="2" s="1"/>
  <c r="H69" i="2" s="1"/>
  <c r="E68" i="2"/>
  <c r="F68" i="2" s="1"/>
  <c r="H68" i="2" s="1"/>
  <c r="E67" i="2"/>
  <c r="F67" i="2" s="1"/>
  <c r="H67" i="2" s="1"/>
  <c r="E66" i="2"/>
  <c r="F66" i="2" s="1"/>
  <c r="H66" i="2" s="1"/>
  <c r="E65" i="2"/>
  <c r="F65" i="2" s="1"/>
  <c r="H65" i="2" s="1"/>
  <c r="E64" i="2"/>
  <c r="F64" i="2" s="1"/>
  <c r="H64" i="2" s="1"/>
  <c r="E63" i="2"/>
  <c r="F63" i="2" s="1"/>
  <c r="H63" i="2" s="1"/>
  <c r="E62" i="2"/>
  <c r="F62" i="2" s="1"/>
  <c r="H62" i="2" s="1"/>
  <c r="E61" i="2"/>
  <c r="F61" i="2" s="1"/>
  <c r="H61" i="2" s="1"/>
  <c r="E60" i="2"/>
  <c r="F60" i="2" s="1"/>
  <c r="H60" i="2" s="1"/>
  <c r="E59" i="2"/>
  <c r="F59" i="2" s="1"/>
  <c r="H59" i="2" s="1"/>
  <c r="E58" i="2"/>
  <c r="F58" i="2" s="1"/>
  <c r="H58" i="2" s="1"/>
  <c r="E57" i="2"/>
  <c r="F57" i="2" s="1"/>
  <c r="H57" i="2" s="1"/>
  <c r="E56" i="2"/>
  <c r="F56" i="2" s="1"/>
  <c r="H56" i="2" s="1"/>
  <c r="E55" i="2"/>
  <c r="F55" i="2" s="1"/>
  <c r="H55" i="2" s="1"/>
  <c r="E54" i="2"/>
  <c r="F54" i="2" s="1"/>
  <c r="H54" i="2" s="1"/>
  <c r="E53" i="2"/>
  <c r="F53" i="2" s="1"/>
  <c r="H53" i="2" s="1"/>
  <c r="E52" i="2"/>
  <c r="F52" i="2" s="1"/>
  <c r="H52" i="2" s="1"/>
  <c r="E51" i="2"/>
  <c r="F51" i="2" s="1"/>
  <c r="H51" i="2" s="1"/>
  <c r="E50" i="2"/>
  <c r="F50" i="2" s="1"/>
  <c r="H50" i="2" s="1"/>
  <c r="E49" i="2"/>
  <c r="F49" i="2" s="1"/>
  <c r="H49" i="2" s="1"/>
  <c r="E48" i="2"/>
  <c r="F48" i="2" s="1"/>
  <c r="H48" i="2" s="1"/>
  <c r="E47" i="2"/>
  <c r="F47" i="2" s="1"/>
  <c r="H47" i="2" s="1"/>
  <c r="E46" i="2"/>
  <c r="F46" i="2" s="1"/>
  <c r="H46" i="2" s="1"/>
  <c r="E45" i="2"/>
  <c r="F45" i="2" s="1"/>
  <c r="H45" i="2" s="1"/>
  <c r="E44" i="2"/>
  <c r="F44" i="2" s="1"/>
  <c r="H44" i="2" s="1"/>
  <c r="E43" i="2"/>
  <c r="F43" i="2" s="1"/>
  <c r="H43" i="2" s="1"/>
  <c r="E42" i="2"/>
  <c r="F42" i="2" s="1"/>
  <c r="H42" i="2" s="1"/>
  <c r="E41" i="2"/>
  <c r="F41" i="2" s="1"/>
  <c r="H41" i="2" s="1"/>
  <c r="I41" i="2" s="1"/>
  <c r="E40" i="2"/>
  <c r="F40" i="2" s="1"/>
  <c r="H40" i="2" s="1"/>
  <c r="I40" i="2" s="1"/>
  <c r="E39" i="2"/>
  <c r="F39" i="2" s="1"/>
  <c r="H39" i="2" s="1"/>
  <c r="I39" i="2" s="1"/>
  <c r="E38" i="2"/>
  <c r="F38" i="2" s="1"/>
  <c r="H38" i="2" s="1"/>
  <c r="I38" i="2" s="1"/>
  <c r="E37" i="2"/>
  <c r="F37" i="2" s="1"/>
  <c r="H37" i="2" s="1"/>
  <c r="I37" i="2" s="1"/>
  <c r="E36" i="2"/>
  <c r="F36" i="2" s="1"/>
  <c r="H36" i="2" s="1"/>
  <c r="I36" i="2" s="1"/>
  <c r="E35" i="2"/>
  <c r="F35" i="2" s="1"/>
  <c r="H35" i="2" s="1"/>
  <c r="I35" i="2" s="1"/>
  <c r="E34" i="2"/>
  <c r="F34" i="2" s="1"/>
  <c r="H34" i="2" s="1"/>
  <c r="I34" i="2" s="1"/>
  <c r="E33" i="2"/>
  <c r="F33" i="2" s="1"/>
  <c r="H33" i="2" s="1"/>
  <c r="I33" i="2" s="1"/>
  <c r="E32" i="2"/>
  <c r="F32" i="2" s="1"/>
  <c r="H32" i="2" s="1"/>
  <c r="I32" i="2" s="1"/>
  <c r="E31" i="2"/>
  <c r="F31" i="2" s="1"/>
  <c r="H31" i="2" s="1"/>
  <c r="I31" i="2" s="1"/>
  <c r="E30" i="2"/>
  <c r="F30" i="2" s="1"/>
  <c r="H30" i="2" s="1"/>
  <c r="I30" i="2" s="1"/>
  <c r="E29" i="2"/>
  <c r="F29" i="2" s="1"/>
  <c r="H29" i="2" s="1"/>
  <c r="I29" i="2" s="1"/>
  <c r="E28" i="2"/>
  <c r="F28" i="2" s="1"/>
  <c r="H28" i="2" s="1"/>
  <c r="I28" i="2" s="1"/>
  <c r="E27" i="2"/>
  <c r="F27" i="2" s="1"/>
  <c r="H27" i="2" s="1"/>
  <c r="I27" i="2" s="1"/>
  <c r="E26" i="2"/>
  <c r="F26" i="2" s="1"/>
  <c r="H26" i="2" s="1"/>
  <c r="I26" i="2" s="1"/>
  <c r="E25" i="2"/>
  <c r="F25" i="2" s="1"/>
  <c r="H25" i="2" s="1"/>
  <c r="I25" i="2" s="1"/>
  <c r="E24" i="2"/>
  <c r="F24" i="2" s="1"/>
  <c r="H24" i="2" s="1"/>
  <c r="I24" i="2" s="1"/>
  <c r="E23" i="2"/>
  <c r="F23" i="2" s="1"/>
  <c r="H23" i="2" s="1"/>
  <c r="E22" i="2"/>
  <c r="F22" i="2" s="1"/>
  <c r="H22" i="2" s="1"/>
  <c r="E21" i="2"/>
  <c r="F21" i="2" s="1"/>
  <c r="H21" i="2" s="1"/>
  <c r="E20" i="2"/>
  <c r="F20" i="2" s="1"/>
  <c r="H20" i="2" s="1"/>
  <c r="E19" i="2"/>
  <c r="F19" i="2" s="1"/>
  <c r="H19" i="2" s="1"/>
  <c r="E18" i="2"/>
  <c r="F18" i="2" s="1"/>
  <c r="H18" i="2" s="1"/>
  <c r="E17" i="2"/>
  <c r="F17" i="2" s="1"/>
  <c r="H17" i="2" s="1"/>
  <c r="E16" i="2"/>
  <c r="F16" i="2" s="1"/>
  <c r="H16" i="2" s="1"/>
  <c r="E15" i="2"/>
  <c r="F15" i="2" s="1"/>
  <c r="H15" i="2" s="1"/>
  <c r="E14" i="2"/>
  <c r="F14" i="2" s="1"/>
  <c r="H14" i="2" s="1"/>
  <c r="E13" i="2"/>
  <c r="F13" i="2" s="1"/>
  <c r="H13" i="2" s="1"/>
  <c r="E12" i="2"/>
  <c r="F12" i="2" s="1"/>
  <c r="H12" i="2" s="1"/>
  <c r="E11" i="2"/>
  <c r="F11" i="2" s="1"/>
  <c r="H11" i="2" s="1"/>
  <c r="E10" i="2"/>
  <c r="F10" i="2" s="1"/>
  <c r="H10" i="2" s="1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B8" i="2"/>
  <c r="I108" i="2" l="1"/>
  <c r="I106" i="2"/>
  <c r="I105" i="2"/>
  <c r="I104" i="2"/>
  <c r="I103" i="2"/>
  <c r="I102" i="2"/>
  <c r="I101" i="2"/>
  <c r="I100" i="2"/>
  <c r="I99" i="2"/>
  <c r="I98" i="2"/>
  <c r="I97" i="2"/>
  <c r="I96" i="2"/>
  <c r="I95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G8" i="2"/>
  <c r="C2" i="2" s="1"/>
  <c r="I10" i="2"/>
  <c r="H8" i="2"/>
  <c r="C3" i="2" s="1"/>
  <c r="C5" i="2" s="1"/>
  <c r="I109" i="2"/>
  <c r="I107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8" i="2" l="1"/>
</calcChain>
</file>

<file path=xl/sharedStrings.xml><?xml version="1.0" encoding="utf-8"?>
<sst xmlns="http://schemas.openxmlformats.org/spreadsheetml/2006/main" count="22" uniqueCount="22">
  <si>
    <t>EAD</t>
  </si>
  <si>
    <t>PD</t>
  </si>
  <si>
    <t>LGD</t>
  </si>
  <si>
    <t>Formulas</t>
  </si>
  <si>
    <t>Expected Loss (EL) = EAD x PD x LGD</t>
  </si>
  <si>
    <t>Total</t>
  </si>
  <si>
    <t>Sl No:</t>
  </si>
  <si>
    <t xml:space="preserve">EAD ($mn) </t>
  </si>
  <si>
    <t xml:space="preserve">PD </t>
  </si>
  <si>
    <t xml:space="preserve">LGD </t>
  </si>
  <si>
    <t>EL</t>
  </si>
  <si>
    <t>UL</t>
  </si>
  <si>
    <t>Correlation</t>
  </si>
  <si>
    <t>WCDR</t>
  </si>
  <si>
    <t xml:space="preserve">WCDR </t>
  </si>
  <si>
    <t>Stressed Loss (SL) = EAD x WCDR x LGD</t>
  </si>
  <si>
    <t>SL</t>
  </si>
  <si>
    <t>Portfolio</t>
  </si>
  <si>
    <t>Expected Loss</t>
  </si>
  <si>
    <t>Stressed Loss</t>
  </si>
  <si>
    <t>Capital Required</t>
  </si>
  <si>
    <t>Unexpected Loss (UL) = Stressed Loss (SL) - Expected Loss (EL)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</si>
</sst>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0" borderId="4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3" fillId="0" borderId="0" xfId="0" applyFont="1"/>
    <xf numFmtId="0" fontId="1" fillId="0" borderId="2" xfId="0" applyFont="1" applyBorder="1"/>
    <xf numFmtId="43" fontId="1" fillId="0" borderId="0" xfId="1" applyFont="1"/>
    <xf numFmtId="0" fontId="1" fillId="0" borderId="0" xfId="0" applyFont="1"/>
    <xf numFmtId="43" fontId="0" fillId="0" borderId="0" xfId="1" applyFont="1"/>
    <xf numFmtId="10" fontId="0" fillId="0" borderId="0" xfId="2" applyNumberFormat="1" applyFont="1"/>
    <xf numFmtId="43" fontId="0" fillId="0" borderId="0" xfId="0" applyNumberFormat="1"/>
    <xf numFmtId="0" fontId="1" fillId="0" borderId="2" xfId="0" applyFont="1" applyFill="1" applyBorder="1" applyAlignment="1">
      <alignment horizontal="center"/>
    </xf>
    <xf numFmtId="0" fontId="0" fillId="0" borderId="0" xfId="0" applyFill="1"/>
    <xf numFmtId="0" fontId="3" fillId="0" borderId="0" xfId="0" applyFont="1" applyFill="1"/>
    <xf numFmtId="0" fontId="5" fillId="0" borderId="5" xfId="0" applyFont="1" applyFill="1" applyBorder="1"/>
    <xf numFmtId="164" fontId="5" fillId="0" borderId="6" xfId="2" applyNumberFormat="1" applyFont="1" applyFill="1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43" fontId="0" fillId="0" borderId="3" xfId="1" applyFont="1" applyBorder="1"/>
    <xf numFmtId="43" fontId="0" fillId="0" borderId="4" xfId="1" applyFont="1" applyBorder="1"/>
    <xf numFmtId="43" fontId="0" fillId="0" borderId="1" xfId="1" applyFont="1" applyBorder="1"/>
    <xf numFmtId="43" fontId="0" fillId="0" borderId="3" xfId="0" applyNumberFormat="1" applyBorder="1"/>
    <xf numFmtId="43" fontId="0" fillId="0" borderId="4" xfId="0" applyNumberFormat="1" applyBorder="1"/>
    <xf numFmtId="43" fontId="0" fillId="0" borderId="1" xfId="0" applyNumberFormat="1" applyBorder="1"/>
    <xf numFmtId="43" fontId="0" fillId="0" borderId="7" xfId="1" applyFont="1" applyBorder="1"/>
    <xf numFmtId="10" fontId="0" fillId="0" borderId="7" xfId="2" applyNumberFormat="1" applyFont="1" applyBorder="1"/>
    <xf numFmtId="43" fontId="0" fillId="0" borderId="7" xfId="0" applyNumberFormat="1" applyBorder="1"/>
    <xf numFmtId="43" fontId="1" fillId="0" borderId="2" xfId="1" applyFont="1" applyFill="1" applyBorder="1" applyAlignment="1">
      <alignment horizontal="center"/>
    </xf>
    <xf numFmtId="43" fontId="1" fillId="0" borderId="2" xfId="1" applyFont="1" applyFill="1" applyBorder="1" applyAlignment="1">
      <alignment horizontal="center"/>
    </xf>
    <xf numFmtId="43" fontId="4" fillId="0" borderId="2" xfId="1" applyFont="1" applyFill="1" applyBorder="1" applyAlignment="1">
      <alignment horizontal="center"/>
    </xf>
    <xf numFmtId="43" fontId="4" fillId="0" borderId="2" xfId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87924-75C7-4444-B6BA-297EC69EE1F4}">
  <dimension ref="A1:C101"/>
  <sheetViews>
    <sheetView showGridLines="0" workbookViewId="0"/>
  </sheetViews>
  <sheetFormatPr defaultRowHeight="14.4" x14ac:dyDescent="0.3"/>
  <sheetData>
    <row r="1" spans="1:3" x14ac:dyDescent="0.3">
      <c r="A1" s="1" t="s">
        <v>0</v>
      </c>
      <c r="B1" s="2" t="s">
        <v>1</v>
      </c>
      <c r="C1" s="2" t="s">
        <v>2</v>
      </c>
    </row>
    <row r="2" spans="1:3" x14ac:dyDescent="0.3">
      <c r="A2" s="3">
        <v>2.1113429466439317</v>
      </c>
      <c r="B2" s="4">
        <v>5.6981572052238846E-2</v>
      </c>
      <c r="C2" s="5">
        <v>0.35169592564001417</v>
      </c>
    </row>
    <row r="3" spans="1:3" x14ac:dyDescent="0.3">
      <c r="A3" s="4">
        <v>5.2990654697138799</v>
      </c>
      <c r="B3" s="4">
        <v>4.8475992244990246E-2</v>
      </c>
      <c r="C3" s="6">
        <v>0.33903870304024408</v>
      </c>
    </row>
    <row r="4" spans="1:3" x14ac:dyDescent="0.3">
      <c r="A4" s="4">
        <v>7.6585824444947148</v>
      </c>
      <c r="B4" s="4">
        <v>2.0339054746107373E-2</v>
      </c>
      <c r="C4" s="6">
        <v>0.69064927587385094</v>
      </c>
    </row>
    <row r="5" spans="1:3" x14ac:dyDescent="0.3">
      <c r="A5" s="4">
        <v>10.038626011511203</v>
      </c>
      <c r="B5" s="4">
        <v>3.9190503311987583E-2</v>
      </c>
      <c r="C5" s="6">
        <v>0.24844378273133538</v>
      </c>
    </row>
    <row r="6" spans="1:3" x14ac:dyDescent="0.3">
      <c r="A6" s="4">
        <v>3.3824982370826788</v>
      </c>
      <c r="B6" s="4">
        <v>4.9807073686785178E-2</v>
      </c>
      <c r="C6" s="6">
        <v>0.47692779861809298</v>
      </c>
    </row>
    <row r="7" spans="1:3" x14ac:dyDescent="0.3">
      <c r="A7" s="4">
        <v>3.4972013890719724</v>
      </c>
      <c r="B7" s="4">
        <v>1.1442720759738789E-2</v>
      </c>
      <c r="C7" s="6">
        <v>0.36116161253290635</v>
      </c>
    </row>
    <row r="8" spans="1:3" x14ac:dyDescent="0.3">
      <c r="A8" s="4">
        <v>5.846290427679639</v>
      </c>
      <c r="B8" s="4">
        <v>1.5967169097475607E-2</v>
      </c>
      <c r="C8" s="6">
        <v>0.26492403810112031</v>
      </c>
    </row>
    <row r="9" spans="1:3" x14ac:dyDescent="0.3">
      <c r="A9" s="4">
        <v>7.9710898417598175</v>
      </c>
      <c r="B9" s="4">
        <v>4.3499080806023334E-2</v>
      </c>
      <c r="C9" s="6">
        <v>0.24926484699453844</v>
      </c>
    </row>
    <row r="10" spans="1:3" x14ac:dyDescent="0.3">
      <c r="A10" s="4">
        <v>8.1065641175803922</v>
      </c>
      <c r="B10" s="4">
        <v>1.0114371015928644E-2</v>
      </c>
      <c r="C10" s="6">
        <v>0.21409737444550792</v>
      </c>
    </row>
    <row r="11" spans="1:3" x14ac:dyDescent="0.3">
      <c r="A11" s="4">
        <v>6.7961997466100836</v>
      </c>
      <c r="B11" s="4">
        <v>3.9033389150312611E-2</v>
      </c>
      <c r="C11" s="6">
        <v>0.31568127025083792</v>
      </c>
    </row>
    <row r="12" spans="1:3" x14ac:dyDescent="0.3">
      <c r="A12" s="4">
        <v>8.3969892927697209</v>
      </c>
      <c r="B12" s="4">
        <v>2.767369423126026E-2</v>
      </c>
      <c r="C12" s="6">
        <v>0.44498065115823748</v>
      </c>
    </row>
    <row r="13" spans="1:3" x14ac:dyDescent="0.3">
      <c r="A13" s="4">
        <v>8.5308127305734267</v>
      </c>
      <c r="B13" s="4">
        <v>4.9376226219418631E-2</v>
      </c>
      <c r="C13" s="6">
        <v>0.32100408780730172</v>
      </c>
    </row>
    <row r="14" spans="1:3" x14ac:dyDescent="0.3">
      <c r="A14" s="4">
        <v>9.4238857390804043</v>
      </c>
      <c r="B14" s="4">
        <v>1.1947323049418842E-2</v>
      </c>
      <c r="C14" s="6">
        <v>0.61231089109667203</v>
      </c>
    </row>
    <row r="15" spans="1:3" x14ac:dyDescent="0.3">
      <c r="A15" s="4">
        <v>5.8069208500142322</v>
      </c>
      <c r="B15" s="4">
        <v>3.7499439591030713E-2</v>
      </c>
      <c r="C15" s="6">
        <v>0.66422676411838821</v>
      </c>
    </row>
    <row r="16" spans="1:3" x14ac:dyDescent="0.3">
      <c r="A16" s="4">
        <v>1.6485775448739683</v>
      </c>
      <c r="B16" s="4">
        <v>1.1703109789367713E-2</v>
      </c>
      <c r="C16" s="6">
        <v>0.23878214999183223</v>
      </c>
    </row>
    <row r="17" spans="1:3" x14ac:dyDescent="0.3">
      <c r="A17" s="4">
        <v>4.1375055114533623</v>
      </c>
      <c r="B17" s="4">
        <v>2.1646145833825646E-2</v>
      </c>
      <c r="C17" s="6">
        <v>0.6081541029929991</v>
      </c>
    </row>
    <row r="18" spans="1:3" x14ac:dyDescent="0.3">
      <c r="A18" s="4">
        <v>5.5516267326831725</v>
      </c>
      <c r="B18" s="4">
        <v>5.1647988402246367E-2</v>
      </c>
      <c r="C18" s="6">
        <v>0.32507606539887124</v>
      </c>
    </row>
    <row r="19" spans="1:3" x14ac:dyDescent="0.3">
      <c r="A19" s="4">
        <v>10.810350799618719</v>
      </c>
      <c r="B19" s="4">
        <v>2.2563764262680433E-2</v>
      </c>
      <c r="C19" s="6">
        <v>0.57995192638740534</v>
      </c>
    </row>
    <row r="20" spans="1:3" x14ac:dyDescent="0.3">
      <c r="A20" s="4">
        <v>2.4392990203854126</v>
      </c>
      <c r="B20" s="4">
        <v>5.1540412703311021E-2</v>
      </c>
      <c r="C20" s="6">
        <v>0.56663508816453678</v>
      </c>
    </row>
    <row r="21" spans="1:3" x14ac:dyDescent="0.3">
      <c r="A21" s="4">
        <v>2.0337630665658049</v>
      </c>
      <c r="B21" s="4">
        <v>4.33881166579283E-2</v>
      </c>
      <c r="C21" s="6">
        <v>0.41513870386821605</v>
      </c>
    </row>
    <row r="22" spans="1:3" x14ac:dyDescent="0.3">
      <c r="A22" s="4">
        <v>7.6040831374540989</v>
      </c>
      <c r="B22" s="4">
        <v>3.1561189455238316E-2</v>
      </c>
      <c r="C22" s="6">
        <v>0.30486747389021596</v>
      </c>
    </row>
    <row r="23" spans="1:3" x14ac:dyDescent="0.3">
      <c r="A23" s="4">
        <v>1.2042242395827631</v>
      </c>
      <c r="B23" s="4">
        <v>3.4485471405317374E-2</v>
      </c>
      <c r="C23" s="6">
        <v>0.403886053990132</v>
      </c>
    </row>
    <row r="24" spans="1:3" x14ac:dyDescent="0.3">
      <c r="A24" s="4">
        <v>1.9040274624121991</v>
      </c>
      <c r="B24" s="4">
        <v>5.1173143042301278E-2</v>
      </c>
      <c r="C24" s="6">
        <v>0.45547307616928723</v>
      </c>
    </row>
    <row r="25" spans="1:3" x14ac:dyDescent="0.3">
      <c r="A25" s="4">
        <v>4.7082329484135581</v>
      </c>
      <c r="B25" s="4">
        <v>5.0923398407887212E-2</v>
      </c>
      <c r="C25" s="6">
        <v>0.23046413256599207</v>
      </c>
    </row>
    <row r="26" spans="1:3" x14ac:dyDescent="0.3">
      <c r="A26" s="4">
        <v>7.6602214236586637</v>
      </c>
      <c r="B26" s="4">
        <v>1.0333077966292938E-2</v>
      </c>
      <c r="C26" s="6">
        <v>0.49094368618115669</v>
      </c>
    </row>
    <row r="27" spans="1:3" x14ac:dyDescent="0.3">
      <c r="A27" s="4">
        <v>1.4027930630655707</v>
      </c>
      <c r="B27" s="4">
        <v>5.5289399739773384E-2</v>
      </c>
      <c r="C27" s="6">
        <v>0.25692441508306896</v>
      </c>
    </row>
    <row r="28" spans="1:3" x14ac:dyDescent="0.3">
      <c r="A28" s="4">
        <v>8.5456788881981609</v>
      </c>
      <c r="B28" s="4">
        <v>1.3568750867256852E-2</v>
      </c>
      <c r="C28" s="6">
        <v>0.6633103429721009</v>
      </c>
    </row>
    <row r="29" spans="1:3" x14ac:dyDescent="0.3">
      <c r="A29" s="4">
        <v>3.8464858734122203</v>
      </c>
      <c r="B29" s="4">
        <v>2.5097972684428302E-2</v>
      </c>
      <c r="C29" s="6">
        <v>0.24368356601692198</v>
      </c>
    </row>
    <row r="30" spans="1:3" x14ac:dyDescent="0.3">
      <c r="A30" s="4">
        <v>8.1231984726683866</v>
      </c>
      <c r="B30" s="4">
        <v>5.2469387805803167E-2</v>
      </c>
      <c r="C30" s="6">
        <v>0.56505132067971264</v>
      </c>
    </row>
    <row r="31" spans="1:3" x14ac:dyDescent="0.3">
      <c r="A31" s="4">
        <v>4.6802302020514697</v>
      </c>
      <c r="B31" s="4">
        <v>5.6651472614051054E-2</v>
      </c>
      <c r="C31" s="6">
        <v>0.4722905932909065</v>
      </c>
    </row>
    <row r="32" spans="1:3" x14ac:dyDescent="0.3">
      <c r="A32" s="4">
        <v>10.869400565290459</v>
      </c>
      <c r="B32" s="4">
        <v>3.0565378751610764E-2</v>
      </c>
      <c r="C32" s="6">
        <v>0.63461637672113402</v>
      </c>
    </row>
    <row r="33" spans="1:3" x14ac:dyDescent="0.3">
      <c r="A33" s="4">
        <v>3.9146664010255066</v>
      </c>
      <c r="B33" s="4">
        <v>5.3612601656484307E-2</v>
      </c>
      <c r="C33" s="6">
        <v>0.26427613870425681</v>
      </c>
    </row>
    <row r="34" spans="1:3" x14ac:dyDescent="0.3">
      <c r="A34" s="4">
        <v>4.5075024080426545</v>
      </c>
      <c r="B34" s="4">
        <v>1.2662826088776969E-2</v>
      </c>
      <c r="C34" s="6">
        <v>0.62262389971490506</v>
      </c>
    </row>
    <row r="35" spans="1:3" x14ac:dyDescent="0.3">
      <c r="A35" s="4">
        <v>5.9805708989118322</v>
      </c>
      <c r="B35" s="4">
        <v>1.0169743635614443E-2</v>
      </c>
      <c r="C35" s="6">
        <v>0.68983689975407003</v>
      </c>
    </row>
    <row r="36" spans="1:3" x14ac:dyDescent="0.3">
      <c r="A36" s="4">
        <v>7.1054239339434009</v>
      </c>
      <c r="B36" s="4">
        <v>3.0055523740202525E-2</v>
      </c>
      <c r="C36" s="6">
        <v>0.5300793531943534</v>
      </c>
    </row>
    <row r="37" spans="1:3" x14ac:dyDescent="0.3">
      <c r="A37" s="4">
        <v>9.300905112553421</v>
      </c>
      <c r="B37" s="4">
        <v>4.8454472836271259E-2</v>
      </c>
      <c r="C37" s="6">
        <v>0.59785757576352738</v>
      </c>
    </row>
    <row r="38" spans="1:3" x14ac:dyDescent="0.3">
      <c r="A38" s="4">
        <v>2.3490249279405497</v>
      </c>
      <c r="B38" s="4">
        <v>5.1910534861334505E-2</v>
      </c>
      <c r="C38" s="6">
        <v>0.23975885554750409</v>
      </c>
    </row>
    <row r="39" spans="1:3" x14ac:dyDescent="0.3">
      <c r="A39" s="4">
        <v>8.7384925209793689</v>
      </c>
      <c r="B39" s="4">
        <v>5.3613842072692874E-2</v>
      </c>
      <c r="C39" s="6">
        <v>0.59498578725052254</v>
      </c>
    </row>
    <row r="40" spans="1:3" x14ac:dyDescent="0.3">
      <c r="A40" s="4">
        <v>9.8772310935891028</v>
      </c>
      <c r="B40" s="4">
        <v>3.2505942566761169E-2</v>
      </c>
      <c r="C40" s="6">
        <v>0.60117178113189695</v>
      </c>
    </row>
    <row r="41" spans="1:3" x14ac:dyDescent="0.3">
      <c r="A41" s="4">
        <v>9.3966024763096989</v>
      </c>
      <c r="B41" s="4">
        <v>4.3424758897292831E-2</v>
      </c>
      <c r="C41" s="6">
        <v>0.64678015251833931</v>
      </c>
    </row>
    <row r="42" spans="1:3" x14ac:dyDescent="0.3">
      <c r="A42" s="4">
        <v>8.6976848888820086</v>
      </c>
      <c r="B42" s="4">
        <v>4.7348815314400321E-2</v>
      </c>
      <c r="C42" s="6">
        <v>0.29802319506158736</v>
      </c>
    </row>
    <row r="43" spans="1:3" x14ac:dyDescent="0.3">
      <c r="A43" s="4">
        <v>8.9204542415548627</v>
      </c>
      <c r="B43" s="4">
        <v>1.3674280994419225E-2</v>
      </c>
      <c r="C43" s="6">
        <v>0.27041723174687338</v>
      </c>
    </row>
    <row r="44" spans="1:3" x14ac:dyDescent="0.3">
      <c r="A44" s="4">
        <v>6.6109332185481611</v>
      </c>
      <c r="B44" s="4">
        <v>5.676202379632414E-2</v>
      </c>
      <c r="C44" s="6">
        <v>0.46055551204184697</v>
      </c>
    </row>
    <row r="45" spans="1:3" x14ac:dyDescent="0.3">
      <c r="A45" s="4">
        <v>1.2550974996021949</v>
      </c>
      <c r="B45" s="4">
        <v>3.6418290708041159E-2</v>
      </c>
      <c r="C45" s="6">
        <v>0.63229804231588249</v>
      </c>
    </row>
    <row r="46" spans="1:3" x14ac:dyDescent="0.3">
      <c r="A46" s="4">
        <v>3.6993869665247816</v>
      </c>
      <c r="B46" s="4">
        <v>3.795859199446161E-2</v>
      </c>
      <c r="C46" s="6">
        <v>0.28290816055339119</v>
      </c>
    </row>
    <row r="47" spans="1:3" x14ac:dyDescent="0.3">
      <c r="A47" s="4">
        <v>4.8315484401644753</v>
      </c>
      <c r="B47" s="4">
        <v>4.0418583064794865E-2</v>
      </c>
      <c r="C47" s="6">
        <v>0.44450404250639997</v>
      </c>
    </row>
    <row r="48" spans="1:3" x14ac:dyDescent="0.3">
      <c r="A48" s="4">
        <v>4.9206383359559558</v>
      </c>
      <c r="B48" s="4">
        <v>4.1871553647260272E-2</v>
      </c>
      <c r="C48" s="6">
        <v>0.31914538221676392</v>
      </c>
    </row>
    <row r="49" spans="1:3" x14ac:dyDescent="0.3">
      <c r="A49" s="4">
        <v>8.0516670143246962</v>
      </c>
      <c r="B49" s="4">
        <v>4.3646293932275725E-2</v>
      </c>
      <c r="C49" s="6">
        <v>0.29875486333017853</v>
      </c>
    </row>
    <row r="50" spans="1:3" x14ac:dyDescent="0.3">
      <c r="A50" s="4">
        <v>6.9514260211182624</v>
      </c>
      <c r="B50" s="4">
        <v>4.5988347961935357E-2</v>
      </c>
      <c r="C50" s="6">
        <v>0.68617424011340833</v>
      </c>
    </row>
    <row r="51" spans="1:3" x14ac:dyDescent="0.3">
      <c r="A51" s="4">
        <v>8.3901456324162869</v>
      </c>
      <c r="B51" s="4">
        <v>5.8158710199308669E-2</v>
      </c>
      <c r="C51" s="6">
        <v>0.47821276883639796</v>
      </c>
    </row>
    <row r="52" spans="1:3" x14ac:dyDescent="0.3">
      <c r="A52" s="4">
        <v>3.5906797538514317</v>
      </c>
      <c r="B52" s="4">
        <v>2.1663832222160669E-2</v>
      </c>
      <c r="C52" s="6">
        <v>0.37728556210490194</v>
      </c>
    </row>
    <row r="53" spans="1:3" x14ac:dyDescent="0.3">
      <c r="A53" s="4">
        <v>8.5378732197979161</v>
      </c>
      <c r="B53" s="4">
        <v>2.996236509505823E-2</v>
      </c>
      <c r="C53" s="6">
        <v>0.61104187246048813</v>
      </c>
    </row>
    <row r="54" spans="1:3" x14ac:dyDescent="0.3">
      <c r="A54" s="4">
        <v>2.9856840834995526</v>
      </c>
      <c r="B54" s="4">
        <v>2.8207052284732879E-2</v>
      </c>
      <c r="C54" s="6">
        <v>0.24488742906452443</v>
      </c>
    </row>
    <row r="55" spans="1:3" x14ac:dyDescent="0.3">
      <c r="A55" s="4">
        <v>8.2342757175777361</v>
      </c>
      <c r="B55" s="4">
        <v>3.2130693570795996E-2</v>
      </c>
      <c r="C55" s="6">
        <v>0.25464974174436694</v>
      </c>
    </row>
    <row r="56" spans="1:3" x14ac:dyDescent="0.3">
      <c r="A56" s="4">
        <v>1.088466378198353</v>
      </c>
      <c r="B56" s="4">
        <v>2.441100327085248E-2</v>
      </c>
      <c r="C56" s="6">
        <v>0.30861886504360347</v>
      </c>
    </row>
    <row r="57" spans="1:3" x14ac:dyDescent="0.3">
      <c r="A57" s="4">
        <v>8.1622363044850736</v>
      </c>
      <c r="B57" s="4">
        <v>5.3328414198889326E-2</v>
      </c>
      <c r="C57" s="6">
        <v>0.34290007437103986</v>
      </c>
    </row>
    <row r="58" spans="1:3" x14ac:dyDescent="0.3">
      <c r="A58" s="4">
        <v>2.2122162163148911</v>
      </c>
      <c r="B58" s="4">
        <v>5.5072206066467781E-2</v>
      </c>
      <c r="C58" s="6">
        <v>0.33976200731732742</v>
      </c>
    </row>
    <row r="59" spans="1:3" x14ac:dyDescent="0.3">
      <c r="A59" s="4">
        <v>9.6913262885539115</v>
      </c>
      <c r="B59" s="4">
        <v>3.9478714859582362E-2</v>
      </c>
      <c r="C59" s="6">
        <v>0.3213960702055253</v>
      </c>
    </row>
    <row r="60" spans="1:3" x14ac:dyDescent="0.3">
      <c r="A60" s="4">
        <v>8.0233677127741974</v>
      </c>
      <c r="B60" s="4">
        <v>2.9011169908627489E-2</v>
      </c>
      <c r="C60" s="6">
        <v>0.4221139839134509</v>
      </c>
    </row>
    <row r="61" spans="1:3" x14ac:dyDescent="0.3">
      <c r="A61" s="4">
        <v>2.3189503091178958</v>
      </c>
      <c r="B61" s="4">
        <v>1.1732376427232622E-2</v>
      </c>
      <c r="C61" s="6">
        <v>0.2117527587759801</v>
      </c>
    </row>
    <row r="62" spans="1:3" x14ac:dyDescent="0.3">
      <c r="A62" s="4">
        <v>6.1665311912174747</v>
      </c>
      <c r="B62" s="4">
        <v>1.0611659424387423E-2</v>
      </c>
      <c r="C62" s="6">
        <v>0.68773675939844758</v>
      </c>
    </row>
    <row r="63" spans="1:3" x14ac:dyDescent="0.3">
      <c r="A63" s="4">
        <v>4.1569754396347722</v>
      </c>
      <c r="B63" s="4">
        <v>2.1458863144407495E-2</v>
      </c>
      <c r="C63" s="6">
        <v>0.39674587505405601</v>
      </c>
    </row>
    <row r="64" spans="1:3" x14ac:dyDescent="0.3">
      <c r="A64" s="4">
        <v>10.268248883815462</v>
      </c>
      <c r="B64" s="4">
        <v>2.3410762736715891E-2</v>
      </c>
      <c r="C64" s="6">
        <v>0.42137740161448733</v>
      </c>
    </row>
    <row r="65" spans="1:3" x14ac:dyDescent="0.3">
      <c r="A65" s="4">
        <v>10.673199998652498</v>
      </c>
      <c r="B65" s="4">
        <v>2.333808157823301E-2</v>
      </c>
      <c r="C65" s="6">
        <v>0.29064867434225439</v>
      </c>
    </row>
    <row r="66" spans="1:3" x14ac:dyDescent="0.3">
      <c r="A66" s="4">
        <v>1.3826549331444318</v>
      </c>
      <c r="B66" s="4">
        <v>1.1950136557084717E-2</v>
      </c>
      <c r="C66" s="6">
        <v>0.54348701272375433</v>
      </c>
    </row>
    <row r="67" spans="1:3" x14ac:dyDescent="0.3">
      <c r="A67" s="4">
        <v>3.1536814019105055</v>
      </c>
      <c r="B67" s="4">
        <v>5.8269265206104433E-2</v>
      </c>
      <c r="C67" s="6">
        <v>0.60731939550287373</v>
      </c>
    </row>
    <row r="68" spans="1:3" x14ac:dyDescent="0.3">
      <c r="A68" s="4">
        <v>9.264013733791856</v>
      </c>
      <c r="B68" s="4">
        <v>4.2326681377969522E-2</v>
      </c>
      <c r="C68" s="6">
        <v>0.54733973209912379</v>
      </c>
    </row>
    <row r="69" spans="1:3" x14ac:dyDescent="0.3">
      <c r="A69" s="4">
        <v>10.158135652355226</v>
      </c>
      <c r="B69" s="4">
        <v>2.0607417482393933E-2</v>
      </c>
      <c r="C69" s="6">
        <v>0.31161773195781539</v>
      </c>
    </row>
    <row r="70" spans="1:3" x14ac:dyDescent="0.3">
      <c r="A70" s="4">
        <v>1.3299276916067184</v>
      </c>
      <c r="B70" s="4">
        <v>5.5943242813198658E-2</v>
      </c>
      <c r="C70" s="6">
        <v>0.65960207770955959</v>
      </c>
    </row>
    <row r="71" spans="1:3" x14ac:dyDescent="0.3">
      <c r="A71" s="4">
        <v>1.6612967459346408</v>
      </c>
      <c r="B71" s="4">
        <v>1.4203439875536579E-2</v>
      </c>
      <c r="C71" s="6">
        <v>0.44582121139090425</v>
      </c>
    </row>
    <row r="72" spans="1:3" x14ac:dyDescent="0.3">
      <c r="A72" s="4">
        <v>2.224656752148042</v>
      </c>
      <c r="B72" s="4">
        <v>4.3920475820826387E-2</v>
      </c>
      <c r="C72" s="6">
        <v>0.46300614450734534</v>
      </c>
    </row>
    <row r="73" spans="1:3" x14ac:dyDescent="0.3">
      <c r="A73" s="4">
        <v>4.742387246625027</v>
      </c>
      <c r="B73" s="4">
        <v>3.5737095870318626E-2</v>
      </c>
      <c r="C73" s="6">
        <v>0.36469003508983466</v>
      </c>
    </row>
    <row r="74" spans="1:3" x14ac:dyDescent="0.3">
      <c r="A74" s="4">
        <v>5.307747345723457</v>
      </c>
      <c r="B74" s="4">
        <v>3.9974862484740449E-2</v>
      </c>
      <c r="C74" s="6">
        <v>0.44641921040529908</v>
      </c>
    </row>
    <row r="75" spans="1:3" x14ac:dyDescent="0.3">
      <c r="A75" s="4">
        <v>6.3199029324760971</v>
      </c>
      <c r="B75" s="4">
        <v>1.2279061281115403E-2</v>
      </c>
      <c r="C75" s="6">
        <v>0.4899126991343784</v>
      </c>
    </row>
    <row r="76" spans="1:3" x14ac:dyDescent="0.3">
      <c r="A76" s="4">
        <v>1.0413124437954882</v>
      </c>
      <c r="B76" s="4">
        <v>4.3680320905037082E-2</v>
      </c>
      <c r="C76" s="6">
        <v>0.6128320693544691</v>
      </c>
    </row>
    <row r="77" spans="1:3" x14ac:dyDescent="0.3">
      <c r="A77" s="4">
        <v>10.390369034934245</v>
      </c>
      <c r="B77" s="4">
        <v>3.9221079323609319E-2</v>
      </c>
      <c r="C77" s="6">
        <v>0.55158045878683415</v>
      </c>
    </row>
    <row r="78" spans="1:3" x14ac:dyDescent="0.3">
      <c r="A78" s="4">
        <v>7.6282329803220286</v>
      </c>
      <c r="B78" s="4">
        <v>5.3480651284804309E-2</v>
      </c>
      <c r="C78" s="6">
        <v>0.22903941923322435</v>
      </c>
    </row>
    <row r="79" spans="1:3" x14ac:dyDescent="0.3">
      <c r="A79" s="4">
        <v>10.932476153502993</v>
      </c>
      <c r="B79" s="4">
        <v>1.0870188362631901E-2</v>
      </c>
      <c r="C79" s="6">
        <v>0.2246684297905045</v>
      </c>
    </row>
    <row r="80" spans="1:3" x14ac:dyDescent="0.3">
      <c r="A80" s="4">
        <v>6.4904765563408242</v>
      </c>
      <c r="B80" s="4">
        <v>2.4968299520919099E-2</v>
      </c>
      <c r="C80" s="6">
        <v>0.69029541274852779</v>
      </c>
    </row>
    <row r="81" spans="1:3" x14ac:dyDescent="0.3">
      <c r="A81" s="4">
        <v>4.2203536777115485</v>
      </c>
      <c r="B81" s="4">
        <v>3.5662444226601267E-2</v>
      </c>
      <c r="C81" s="6">
        <v>0.33517539806233332</v>
      </c>
    </row>
    <row r="82" spans="1:3" x14ac:dyDescent="0.3">
      <c r="A82" s="4">
        <v>7.5032704384548854</v>
      </c>
      <c r="B82" s="4">
        <v>2.6967058719719314E-2</v>
      </c>
      <c r="C82" s="6">
        <v>0.65168796537799534</v>
      </c>
    </row>
    <row r="83" spans="1:3" x14ac:dyDescent="0.3">
      <c r="A83" s="4">
        <v>1.6071629117449462</v>
      </c>
      <c r="B83" s="4">
        <v>1.8815576231867477E-2</v>
      </c>
      <c r="C83" s="6">
        <v>0.65605080246849312</v>
      </c>
    </row>
    <row r="84" spans="1:3" x14ac:dyDescent="0.3">
      <c r="A84" s="4">
        <v>6.7506477987089628</v>
      </c>
      <c r="B84" s="4">
        <v>3.2925012514916363E-2</v>
      </c>
      <c r="C84" s="6">
        <v>0.34616762559222491</v>
      </c>
    </row>
    <row r="85" spans="1:3" x14ac:dyDescent="0.3">
      <c r="A85" s="4">
        <v>2.4725346173984621</v>
      </c>
      <c r="B85" s="4">
        <v>2.0879036035778949E-2</v>
      </c>
      <c r="C85" s="6">
        <v>0.66212402721431252</v>
      </c>
    </row>
    <row r="86" spans="1:3" x14ac:dyDescent="0.3">
      <c r="A86" s="4">
        <v>4.3598091117805975</v>
      </c>
      <c r="B86" s="4">
        <v>5.0851557829304547E-2</v>
      </c>
      <c r="C86" s="6">
        <v>0.34106067816254171</v>
      </c>
    </row>
    <row r="87" spans="1:3" x14ac:dyDescent="0.3">
      <c r="A87" s="4">
        <v>3.5286804008345101</v>
      </c>
      <c r="B87" s="4">
        <v>5.7702934543936872E-2</v>
      </c>
      <c r="C87" s="6">
        <v>0.42962505681095808</v>
      </c>
    </row>
    <row r="88" spans="1:3" x14ac:dyDescent="0.3">
      <c r="A88" s="4">
        <v>2.6810414577976776</v>
      </c>
      <c r="B88" s="4">
        <v>3.0008868947872594E-2</v>
      </c>
      <c r="C88" s="6">
        <v>0.42656939327163235</v>
      </c>
    </row>
    <row r="89" spans="1:3" x14ac:dyDescent="0.3">
      <c r="A89" s="4">
        <v>6.1801900119593309</v>
      </c>
      <c r="B89" s="4">
        <v>5.7983949502188034E-2</v>
      </c>
      <c r="C89" s="6">
        <v>0.24529615989531661</v>
      </c>
    </row>
    <row r="90" spans="1:3" x14ac:dyDescent="0.3">
      <c r="A90" s="4">
        <v>4.0840100182008765</v>
      </c>
      <c r="B90" s="4">
        <v>5.2498773572615759E-2</v>
      </c>
      <c r="C90" s="6">
        <v>0.47841175237598021</v>
      </c>
    </row>
    <row r="91" spans="1:3" x14ac:dyDescent="0.3">
      <c r="A91" s="4">
        <v>8.836820414761176</v>
      </c>
      <c r="B91" s="4">
        <v>1.2635764473106336E-2</v>
      </c>
      <c r="C91" s="6">
        <v>0.5404282094171039</v>
      </c>
    </row>
    <row r="92" spans="1:3" x14ac:dyDescent="0.3">
      <c r="A92" s="4">
        <v>5.1747923692476121</v>
      </c>
      <c r="B92" s="4">
        <v>1.3085501551217717E-2</v>
      </c>
      <c r="C92" s="6">
        <v>0.36883666172921803</v>
      </c>
    </row>
    <row r="93" spans="1:3" x14ac:dyDescent="0.3">
      <c r="A93" s="4">
        <v>7.1639513188156458</v>
      </c>
      <c r="B93" s="4">
        <v>4.9845548787286774E-2</v>
      </c>
      <c r="C93" s="6">
        <v>0.69111517152179447</v>
      </c>
    </row>
    <row r="94" spans="1:3" x14ac:dyDescent="0.3">
      <c r="A94" s="4">
        <v>3.6691814282358681</v>
      </c>
      <c r="B94" s="4">
        <v>5.0411256926503542E-2</v>
      </c>
      <c r="C94" s="6">
        <v>0.60933843535586474</v>
      </c>
    </row>
    <row r="95" spans="1:3" x14ac:dyDescent="0.3">
      <c r="A95" s="4">
        <v>4.1683012957365015</v>
      </c>
      <c r="B95" s="4">
        <v>5.8145477038991644E-2</v>
      </c>
      <c r="C95" s="6">
        <v>0.47619805291810435</v>
      </c>
    </row>
    <row r="96" spans="1:3" x14ac:dyDescent="0.3">
      <c r="A96" s="4">
        <v>2.1463075591611704</v>
      </c>
      <c r="B96" s="4">
        <v>3.2572506188292945E-2</v>
      </c>
      <c r="C96" s="6">
        <v>0.44802418381057518</v>
      </c>
    </row>
    <row r="97" spans="1:3" x14ac:dyDescent="0.3">
      <c r="A97" s="4">
        <v>9.5160575448490228</v>
      </c>
      <c r="B97" s="4">
        <v>5.2432685396596533E-2</v>
      </c>
      <c r="C97" s="6">
        <v>0.27749968198730535</v>
      </c>
    </row>
    <row r="98" spans="1:3" x14ac:dyDescent="0.3">
      <c r="A98" s="4">
        <v>10.335128386225792</v>
      </c>
      <c r="B98" s="4">
        <v>4.4779252151959749E-2</v>
      </c>
      <c r="C98" s="6">
        <v>0.42073014950101695</v>
      </c>
    </row>
    <row r="99" spans="1:3" x14ac:dyDescent="0.3">
      <c r="A99" s="4">
        <v>3.2827689510927476</v>
      </c>
      <c r="B99" s="4">
        <v>5.1115027311982954E-2</v>
      </c>
      <c r="C99" s="6">
        <v>0.67895755809370006</v>
      </c>
    </row>
    <row r="100" spans="1:3" x14ac:dyDescent="0.3">
      <c r="A100" s="4">
        <v>10.83290271438835</v>
      </c>
      <c r="B100" s="4">
        <v>2.96340928516063E-2</v>
      </c>
      <c r="C100" s="6">
        <v>0.62216876669906396</v>
      </c>
    </row>
    <row r="101" spans="1:3" x14ac:dyDescent="0.3">
      <c r="A101" s="7">
        <v>4.1876166894992117</v>
      </c>
      <c r="B101" s="7">
        <v>4.5849843442694431E-2</v>
      </c>
      <c r="C101" s="8">
        <v>0.62765712114478645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4A75-DBF8-4FAB-9FE0-AD9E0F63F1AD}">
  <dimension ref="A1:N109"/>
  <sheetViews>
    <sheetView showGridLines="0" tabSelected="1" zoomScale="148" zoomScaleNormal="280" workbookViewId="0">
      <selection activeCell="E3" sqref="E3"/>
    </sheetView>
  </sheetViews>
  <sheetFormatPr defaultRowHeight="14.4" x14ac:dyDescent="0.3"/>
  <cols>
    <col min="1" max="1" width="6.109375" bestFit="1" customWidth="1"/>
    <col min="2" max="2" width="10.44140625" bestFit="1" customWidth="1"/>
    <col min="3" max="3" width="7.6640625" bestFit="1" customWidth="1"/>
    <col min="4" max="4" width="7" bestFit="1" customWidth="1"/>
    <col min="5" max="5" width="10.44140625" bestFit="1" customWidth="1"/>
    <col min="6" max="6" width="6.21875" bestFit="1" customWidth="1"/>
    <col min="7" max="7" width="5.44140625" bestFit="1" customWidth="1"/>
    <col min="8" max="9" width="7.5546875" bestFit="1" customWidth="1"/>
    <col min="10" max="10" width="67.88671875" bestFit="1" customWidth="1"/>
  </cols>
  <sheetData>
    <row r="1" spans="1:14" x14ac:dyDescent="0.3">
      <c r="A1" s="16" t="s">
        <v>17</v>
      </c>
      <c r="B1" s="16"/>
      <c r="C1" s="16"/>
      <c r="E1" s="19" t="s">
        <v>14</v>
      </c>
      <c r="F1" s="20">
        <v>0.999</v>
      </c>
      <c r="H1" s="9" t="s">
        <v>3</v>
      </c>
    </row>
    <row r="2" spans="1:14" x14ac:dyDescent="0.3">
      <c r="A2" s="33" t="s">
        <v>18</v>
      </c>
      <c r="B2" s="33"/>
      <c r="C2" s="34">
        <f>+G8</f>
        <v>9.007556776357184</v>
      </c>
      <c r="H2" t="s">
        <v>4</v>
      </c>
    </row>
    <row r="3" spans="1:14" x14ac:dyDescent="0.3">
      <c r="A3" s="33" t="s">
        <v>19</v>
      </c>
      <c r="B3" s="33"/>
      <c r="C3" s="34">
        <f ca="1">+H8</f>
        <v>161.60632350960651</v>
      </c>
      <c r="H3" t="s">
        <v>15</v>
      </c>
    </row>
    <row r="4" spans="1:14" x14ac:dyDescent="0.3">
      <c r="A4" s="33"/>
      <c r="B4" s="33"/>
      <c r="C4" s="33"/>
      <c r="H4" t="s">
        <v>21</v>
      </c>
    </row>
    <row r="5" spans="1:14" x14ac:dyDescent="0.3">
      <c r="A5" s="35" t="s">
        <v>20</v>
      </c>
      <c r="B5" s="35"/>
      <c r="C5" s="36">
        <f ca="1">C3-C2</f>
        <v>152.59876673324933</v>
      </c>
    </row>
    <row r="6" spans="1:14" x14ac:dyDescent="0.3">
      <c r="A6" s="17"/>
      <c r="B6" s="17"/>
      <c r="C6" s="17"/>
    </row>
    <row r="7" spans="1:14" x14ac:dyDescent="0.3">
      <c r="A7" s="18"/>
      <c r="B7" s="18"/>
      <c r="C7" s="18"/>
      <c r="D7" s="9"/>
      <c r="E7" s="9"/>
      <c r="F7" s="9"/>
      <c r="G7" s="9"/>
      <c r="H7" s="9"/>
      <c r="I7" s="9"/>
      <c r="J7" s="9"/>
      <c r="K7" s="9"/>
    </row>
    <row r="8" spans="1:14" x14ac:dyDescent="0.3">
      <c r="A8" s="11" t="s">
        <v>5</v>
      </c>
      <c r="B8" s="11">
        <f>+SUM(B10:B109)</f>
        <v>584.3740024474688</v>
      </c>
      <c r="C8" s="11"/>
      <c r="D8" s="11"/>
      <c r="E8" s="11"/>
      <c r="F8" s="11"/>
      <c r="G8" s="11">
        <f>SUM(G10:G109)</f>
        <v>9.007556776357184</v>
      </c>
      <c r="H8" s="11">
        <f t="shared" ref="H8:I8" ca="1" si="0">SUM(H10:H109)</f>
        <v>161.60632350960651</v>
      </c>
      <c r="I8" s="11">
        <f t="shared" ca="1" si="0"/>
        <v>152.59876673324936</v>
      </c>
      <c r="J8" s="11"/>
      <c r="K8" s="12"/>
      <c r="L8" s="12"/>
      <c r="M8" s="11"/>
      <c r="N8" s="11"/>
    </row>
    <row r="9" spans="1:14" x14ac:dyDescent="0.3">
      <c r="A9" s="10" t="s">
        <v>6</v>
      </c>
      <c r="B9" s="10" t="s">
        <v>7</v>
      </c>
      <c r="C9" s="10" t="s">
        <v>8</v>
      </c>
      <c r="D9" s="10" t="s">
        <v>9</v>
      </c>
      <c r="E9" s="10" t="s">
        <v>12</v>
      </c>
      <c r="F9" s="10" t="s">
        <v>13</v>
      </c>
      <c r="G9" s="10" t="s">
        <v>10</v>
      </c>
      <c r="H9" s="10" t="s">
        <v>16</v>
      </c>
      <c r="I9" s="10" t="s">
        <v>11</v>
      </c>
      <c r="J9" s="12"/>
      <c r="K9" s="12"/>
      <c r="L9" s="12"/>
      <c r="M9" s="12"/>
      <c r="N9" s="12"/>
    </row>
    <row r="10" spans="1:14" x14ac:dyDescent="0.3">
      <c r="A10" s="21">
        <v>1</v>
      </c>
      <c r="B10" s="13">
        <v>2.1113429466439317</v>
      </c>
      <c r="C10" s="24">
        <v>5.6981572052238846E-2</v>
      </c>
      <c r="D10" s="14">
        <v>0.35169592564001417</v>
      </c>
      <c r="E10" s="27">
        <f ca="1">+RAND()</f>
        <v>4.582381247860623E-2</v>
      </c>
      <c r="F10" s="13">
        <f ca="1">_xlfn.NORM.S.DIST((_xlfn.NORM.S.INV(C10)+(SQRT(E10)*_xlfn.NORM.S.INV($F$1)))/SQRT(1-E10),TRUE)</f>
        <v>0.17337070757551859</v>
      </c>
      <c r="G10" s="27">
        <f>+B10*C10*D10</f>
        <v>4.2311706896186727E-2</v>
      </c>
      <c r="H10" s="15">
        <f ca="1">+B10*F10*D10</f>
        <v>0.12873654234380888</v>
      </c>
      <c r="I10" s="27">
        <f ca="1">+H10-G10</f>
        <v>8.6424835447622153E-2</v>
      </c>
    </row>
    <row r="11" spans="1:14" x14ac:dyDescent="0.3">
      <c r="A11" s="22">
        <v>2</v>
      </c>
      <c r="B11" s="13">
        <v>5.2990654697138799</v>
      </c>
      <c r="C11" s="25">
        <v>4.8475992244990246E-2</v>
      </c>
      <c r="D11" s="14">
        <v>0.33903870304024408</v>
      </c>
      <c r="E11" s="28">
        <f t="shared" ref="E11:E74" ca="1" si="1">+RAND()</f>
        <v>0.22808782824173002</v>
      </c>
      <c r="F11" s="13">
        <f ca="1">_xlfn.NORM.S.DIST((_xlfn.NORM.S.INV(C11)+(SQRT(E11)*_xlfn.NORM.S.INV($F$1)))/SQRT(1-E11),TRUE)</f>
        <v>0.41707340750027166</v>
      </c>
      <c r="G11" s="28">
        <f>+B11*C11*D11</f>
        <v>8.7091399731211147E-2</v>
      </c>
      <c r="H11" s="15">
        <f t="shared" ref="H11:H74" ca="1" si="2">+B11*F11*D11</f>
        <v>0.74930919755682446</v>
      </c>
      <c r="I11" s="28">
        <f t="shared" ref="I11:I74" ca="1" si="3">+H11-G11</f>
        <v>0.6622177978256133</v>
      </c>
    </row>
    <row r="12" spans="1:14" x14ac:dyDescent="0.3">
      <c r="A12" s="22">
        <v>3</v>
      </c>
      <c r="B12" s="13">
        <v>7.6585824444947148</v>
      </c>
      <c r="C12" s="25">
        <v>2.0339054746107373E-2</v>
      </c>
      <c r="D12" s="14">
        <v>0.69064927587385094</v>
      </c>
      <c r="E12" s="28">
        <f t="shared" ca="1" si="1"/>
        <v>0.18504769025021761</v>
      </c>
      <c r="F12" s="13">
        <f ca="1">_xlfn.NORM.S.DIST((_xlfn.NORM.S.INV(C12)+(SQRT(E12)*_xlfn.NORM.S.INV($F$1)))/SQRT(1-E12),TRUE)</f>
        <v>0.21337709814363601</v>
      </c>
      <c r="G12" s="28">
        <f>+B12*C12*D12</f>
        <v>0.10758128267217812</v>
      </c>
      <c r="H12" s="15">
        <f t="shared" ca="1" si="2"/>
        <v>1.1286356321722844</v>
      </c>
      <c r="I12" s="28">
        <f t="shared" ca="1" si="3"/>
        <v>1.0210543495001063</v>
      </c>
    </row>
    <row r="13" spans="1:14" x14ac:dyDescent="0.3">
      <c r="A13" s="22">
        <v>4</v>
      </c>
      <c r="B13" s="13">
        <v>10.038626011511203</v>
      </c>
      <c r="C13" s="25">
        <v>3.9190503311987583E-2</v>
      </c>
      <c r="D13" s="14">
        <v>0.24844378273133538</v>
      </c>
      <c r="E13" s="28">
        <f t="shared" ca="1" si="1"/>
        <v>0.64203251532762695</v>
      </c>
      <c r="F13" s="13">
        <f ca="1">_xlfn.NORM.S.DIST((_xlfn.NORM.S.INV(C13)+(SQRT(E13)*_xlfn.NORM.S.INV($F$1)))/SQRT(1-E13),TRUE)</f>
        <v>0.88427522309065976</v>
      </c>
      <c r="G13" s="28">
        <f>+B13*C13*D13</f>
        <v>9.7742456348343817E-2</v>
      </c>
      <c r="H13" s="15">
        <f t="shared" ca="1" si="2"/>
        <v>2.2054126660430824</v>
      </c>
      <c r="I13" s="28">
        <f t="shared" ca="1" si="3"/>
        <v>2.1076702096947386</v>
      </c>
    </row>
    <row r="14" spans="1:14" x14ac:dyDescent="0.3">
      <c r="A14" s="22">
        <v>5</v>
      </c>
      <c r="B14" s="13">
        <v>3.3824982370826788</v>
      </c>
      <c r="C14" s="25">
        <v>4.9807073686785178E-2</v>
      </c>
      <c r="D14" s="14">
        <v>0.47692779861809298</v>
      </c>
      <c r="E14" s="28">
        <f t="shared" ca="1" si="1"/>
        <v>0.19549373236604006</v>
      </c>
      <c r="F14" s="13">
        <f ca="1">_xlfn.NORM.S.DIST((_xlfn.NORM.S.INV(C14)+(SQRT(E14)*_xlfn.NORM.S.INV($F$1)))/SQRT(1-E14),TRUE)</f>
        <v>0.37728944843095541</v>
      </c>
      <c r="G14" s="28">
        <f>+B14*C14*D14</f>
        <v>8.0349141738599056E-2</v>
      </c>
      <c r="H14" s="15">
        <f t="shared" ca="1" si="2"/>
        <v>0.60864614450336296</v>
      </c>
      <c r="I14" s="28">
        <f t="shared" ca="1" si="3"/>
        <v>0.52829700276476388</v>
      </c>
    </row>
    <row r="15" spans="1:14" x14ac:dyDescent="0.3">
      <c r="A15" s="22">
        <v>6</v>
      </c>
      <c r="B15" s="13">
        <v>3.4972013890719724</v>
      </c>
      <c r="C15" s="25">
        <v>1.1442720759738789E-2</v>
      </c>
      <c r="D15" s="14">
        <v>0.36116161253290635</v>
      </c>
      <c r="E15" s="28">
        <f t="shared" ca="1" si="1"/>
        <v>0.12256796687689497</v>
      </c>
      <c r="F15" s="13">
        <f ca="1">_xlfn.NORM.S.DIST((_xlfn.NORM.S.INV(C15)+(SQRT(E15)*_xlfn.NORM.S.INV($F$1)))/SQRT(1-E15),TRUE)</f>
        <v>0.10131516429591803</v>
      </c>
      <c r="G15" s="28">
        <f>+B15*C15*D15</f>
        <v>1.4452784445158927E-2</v>
      </c>
      <c r="H15" s="15">
        <f t="shared" ca="1" si="2"/>
        <v>0.12796661400205239</v>
      </c>
      <c r="I15" s="28">
        <f t="shared" ca="1" si="3"/>
        <v>0.11351382955689346</v>
      </c>
    </row>
    <row r="16" spans="1:14" x14ac:dyDescent="0.3">
      <c r="A16" s="22">
        <v>7</v>
      </c>
      <c r="B16" s="13">
        <v>5.846290427679639</v>
      </c>
      <c r="C16" s="25">
        <v>1.5967169097475607E-2</v>
      </c>
      <c r="D16" s="14">
        <v>0.26492403810112031</v>
      </c>
      <c r="E16" s="28">
        <f t="shared" ca="1" si="1"/>
        <v>0.73818931924442488</v>
      </c>
      <c r="F16" s="13">
        <f ca="1">_xlfn.NORM.S.DIST((_xlfn.NORM.S.INV(C16)+(SQRT(E16)*_xlfn.NORM.S.INV($F$1)))/SQRT(1-E16),TRUE)</f>
        <v>0.84047216254393775</v>
      </c>
      <c r="G16" s="28">
        <f>+B16*C16*D16</f>
        <v>2.4730316635597771E-2</v>
      </c>
      <c r="H16" s="15">
        <f t="shared" ca="1" si="2"/>
        <v>1.301742505276235</v>
      </c>
      <c r="I16" s="28">
        <f t="shared" ca="1" si="3"/>
        <v>1.2770121886406374</v>
      </c>
    </row>
    <row r="17" spans="1:9" x14ac:dyDescent="0.3">
      <c r="A17" s="22">
        <v>8</v>
      </c>
      <c r="B17" s="13">
        <v>7.9710898417598175</v>
      </c>
      <c r="C17" s="25">
        <v>4.3499080806023334E-2</v>
      </c>
      <c r="D17" s="14">
        <v>0.24926484699453844</v>
      </c>
      <c r="E17" s="28">
        <f t="shared" ca="1" si="1"/>
        <v>0.66730932491946571</v>
      </c>
      <c r="F17" s="13">
        <f ca="1">_xlfn.NORM.S.DIST((_xlfn.NORM.S.INV(C17)+(SQRT(E17)*_xlfn.NORM.S.INV($F$1)))/SQRT(1-E17),TRUE)</f>
        <v>0.92064096591014399</v>
      </c>
      <c r="G17" s="28">
        <f>+B17*C17*D17</f>
        <v>8.6428866947697372E-2</v>
      </c>
      <c r="H17" s="15">
        <f t="shared" ca="1" si="2"/>
        <v>1.8292330337754941</v>
      </c>
      <c r="I17" s="28">
        <f t="shared" ca="1" si="3"/>
        <v>1.7428041668277967</v>
      </c>
    </row>
    <row r="18" spans="1:9" x14ac:dyDescent="0.3">
      <c r="A18" s="22">
        <v>9</v>
      </c>
      <c r="B18" s="13">
        <v>8.1065641175803922</v>
      </c>
      <c r="C18" s="25">
        <v>1.0114371015928644E-2</v>
      </c>
      <c r="D18" s="14">
        <v>0.21409737444550792</v>
      </c>
      <c r="E18" s="28">
        <f t="shared" ca="1" si="1"/>
        <v>0.39758734672030205</v>
      </c>
      <c r="F18" s="13">
        <f ca="1">_xlfn.NORM.S.DIST((_xlfn.NORM.S.INV(C18)+(SQRT(E18)*_xlfn.NORM.S.INV($F$1)))/SQRT(1-E18),TRUE)</f>
        <v>0.3151588267662821</v>
      </c>
      <c r="G18" s="28">
        <f>+B18*C18*D18</f>
        <v>1.7554442593177254E-2</v>
      </c>
      <c r="H18" s="15">
        <f t="shared" ca="1" si="2"/>
        <v>0.54698779820208498</v>
      </c>
      <c r="I18" s="28">
        <f t="shared" ca="1" si="3"/>
        <v>0.5294333556089077</v>
      </c>
    </row>
    <row r="19" spans="1:9" x14ac:dyDescent="0.3">
      <c r="A19" s="22">
        <v>10</v>
      </c>
      <c r="B19" s="13">
        <v>6.7961997466100836</v>
      </c>
      <c r="C19" s="25">
        <v>3.9033389150312611E-2</v>
      </c>
      <c r="D19" s="14">
        <v>0.31568127025083792</v>
      </c>
      <c r="E19" s="28">
        <f t="shared" ca="1" si="1"/>
        <v>1.3263615409708662E-2</v>
      </c>
      <c r="F19" s="13">
        <f ca="1">_xlfn.NORM.S.DIST((_xlfn.NORM.S.INV(C19)+(SQRT(E19)*_xlfn.NORM.S.INV($F$1)))/SQRT(1-E19),TRUE)</f>
        <v>7.845531062253143E-2</v>
      </c>
      <c r="G19" s="28">
        <f>+B19*C19*D19</f>
        <v>8.37435199705273E-2</v>
      </c>
      <c r="H19" s="15">
        <f t="shared" ca="1" si="2"/>
        <v>0.1683206099939509</v>
      </c>
      <c r="I19" s="28">
        <f t="shared" ca="1" si="3"/>
        <v>8.4577090023423604E-2</v>
      </c>
    </row>
    <row r="20" spans="1:9" x14ac:dyDescent="0.3">
      <c r="A20" s="22">
        <v>11</v>
      </c>
      <c r="B20" s="13">
        <v>8.3969892927697209</v>
      </c>
      <c r="C20" s="25">
        <v>2.767369423126026E-2</v>
      </c>
      <c r="D20" s="14">
        <v>0.44498065115823748</v>
      </c>
      <c r="E20" s="28">
        <f t="shared" ca="1" si="1"/>
        <v>3.3966711898667068E-2</v>
      </c>
      <c r="F20" s="13">
        <f ca="1">_xlfn.NORM.S.DIST((_xlfn.NORM.S.INV(C20)+(SQRT(E20)*_xlfn.NORM.S.INV($F$1)))/SQRT(1-E20),TRUE)</f>
        <v>8.5331436384073076E-2</v>
      </c>
      <c r="G20" s="28">
        <f>+B20*C20*D20</f>
        <v>0.10340269659639507</v>
      </c>
      <c r="H20" s="15">
        <f t="shared" ca="1" si="2"/>
        <v>0.31884072118531442</v>
      </c>
      <c r="I20" s="28">
        <f t="shared" ca="1" si="3"/>
        <v>0.21543802458891936</v>
      </c>
    </row>
    <row r="21" spans="1:9" x14ac:dyDescent="0.3">
      <c r="A21" s="22">
        <v>12</v>
      </c>
      <c r="B21" s="13">
        <v>8.5308127305734267</v>
      </c>
      <c r="C21" s="25">
        <v>4.9376226219418631E-2</v>
      </c>
      <c r="D21" s="14">
        <v>0.32100408780730172</v>
      </c>
      <c r="E21" s="28">
        <f t="shared" ca="1" si="1"/>
        <v>0.67729263865402045</v>
      </c>
      <c r="F21" s="13">
        <f ca="1">_xlfn.NORM.S.DIST((_xlfn.NORM.S.INV(C21)+(SQRT(E21)*_xlfn.NORM.S.INV($F$1)))/SQRT(1-E21),TRUE)</f>
        <v>0.94187137657159403</v>
      </c>
      <c r="G21" s="28">
        <f>+B21*C21*D21</f>
        <v>0.13521312975320354</v>
      </c>
      <c r="H21" s="15">
        <f t="shared" ca="1" si="2"/>
        <v>2.5792448391108103</v>
      </c>
      <c r="I21" s="28">
        <f t="shared" ca="1" si="3"/>
        <v>2.4440317093576067</v>
      </c>
    </row>
    <row r="22" spans="1:9" x14ac:dyDescent="0.3">
      <c r="A22" s="22">
        <v>13</v>
      </c>
      <c r="B22" s="13">
        <v>9.4238857390804043</v>
      </c>
      <c r="C22" s="25">
        <v>1.1947323049418842E-2</v>
      </c>
      <c r="D22" s="14">
        <v>0.61231089109667203</v>
      </c>
      <c r="E22" s="28">
        <f t="shared" ca="1" si="1"/>
        <v>0.43403922211308743</v>
      </c>
      <c r="F22" s="13">
        <f ca="1">_xlfn.NORM.S.DIST((_xlfn.NORM.S.INV(C22)+(SQRT(E22)*_xlfn.NORM.S.INV($F$1)))/SQRT(1-E22),TRUE)</f>
        <v>0.38349272757043518</v>
      </c>
      <c r="G22" s="28">
        <f>+B22*C22*D22</f>
        <v>6.8940210164053925E-2</v>
      </c>
      <c r="H22" s="15">
        <f t="shared" ca="1" si="2"/>
        <v>2.2128864454182575</v>
      </c>
      <c r="I22" s="28">
        <f t="shared" ca="1" si="3"/>
        <v>2.1439462352542038</v>
      </c>
    </row>
    <row r="23" spans="1:9" x14ac:dyDescent="0.3">
      <c r="A23" s="22">
        <v>14</v>
      </c>
      <c r="B23" s="13">
        <v>5.8069208500142322</v>
      </c>
      <c r="C23" s="25">
        <v>3.7499439591030713E-2</v>
      </c>
      <c r="D23" s="14">
        <v>0.66422676411838821</v>
      </c>
      <c r="E23" s="28">
        <f t="shared" ca="1" si="1"/>
        <v>0.16061375310385928</v>
      </c>
      <c r="F23" s="13">
        <f ca="1">_xlfn.NORM.S.DIST((_xlfn.NORM.S.INV(C23)+(SQRT(E23)*_xlfn.NORM.S.INV($F$1)))/SQRT(1-E23),TRUE)</f>
        <v>0.27706014768186948</v>
      </c>
      <c r="G23" s="28">
        <f>+B23*C23*D23</f>
        <v>0.14463954765332274</v>
      </c>
      <c r="H23" s="15">
        <f t="shared" ca="1" si="2"/>
        <v>1.0686520884182344</v>
      </c>
      <c r="I23" s="28">
        <f t="shared" ca="1" si="3"/>
        <v>0.92401254076491168</v>
      </c>
    </row>
    <row r="24" spans="1:9" x14ac:dyDescent="0.3">
      <c r="A24" s="22">
        <v>15</v>
      </c>
      <c r="B24" s="13">
        <v>1.6485775448739683</v>
      </c>
      <c r="C24" s="25">
        <v>1.1703109789367713E-2</v>
      </c>
      <c r="D24" s="14">
        <v>0.23878214999183223</v>
      </c>
      <c r="E24" s="28">
        <f t="shared" ca="1" si="1"/>
        <v>0.99128212753948886</v>
      </c>
      <c r="F24" s="13">
        <f ca="1">_xlfn.NORM.S.DIST((_xlfn.NORM.S.INV(C24)+(SQRT(E24)*_xlfn.NORM.S.INV($F$1)))/SQRT(1-E24),TRUE)</f>
        <v>1</v>
      </c>
      <c r="G24" s="28">
        <f>+B24*C24*D24</f>
        <v>4.6069395912953278E-3</v>
      </c>
      <c r="H24" s="15">
        <f t="shared" ca="1" si="2"/>
        <v>0.39365089059326241</v>
      </c>
      <c r="I24" s="28">
        <f t="shared" ca="1" si="3"/>
        <v>0.38904395100196709</v>
      </c>
    </row>
    <row r="25" spans="1:9" x14ac:dyDescent="0.3">
      <c r="A25" s="22">
        <v>16</v>
      </c>
      <c r="B25" s="13">
        <v>4.1375055114533623</v>
      </c>
      <c r="C25" s="25">
        <v>2.1646145833825646E-2</v>
      </c>
      <c r="D25" s="14">
        <v>0.6081541029929991</v>
      </c>
      <c r="E25" s="28">
        <f t="shared" ca="1" si="1"/>
        <v>0.73851318287759204</v>
      </c>
      <c r="F25" s="13">
        <f ca="1">_xlfn.NORM.S.DIST((_xlfn.NORM.S.INV(C25)+(SQRT(E25)*_xlfn.NORM.S.INV($F$1)))/SQRT(1-E25),TRUE)</f>
        <v>0.89275937884425005</v>
      </c>
      <c r="G25" s="28">
        <f>+B25*C25*D25</f>
        <v>5.4466918620524558E-2</v>
      </c>
      <c r="H25" s="15">
        <f t="shared" ca="1" si="2"/>
        <v>2.2463977101749895</v>
      </c>
      <c r="I25" s="28">
        <f t="shared" ca="1" si="3"/>
        <v>2.1919307915544648</v>
      </c>
    </row>
    <row r="26" spans="1:9" x14ac:dyDescent="0.3">
      <c r="A26" s="22">
        <v>17</v>
      </c>
      <c r="B26" s="13">
        <v>5.5516267326831725</v>
      </c>
      <c r="C26" s="25">
        <v>5.1647988402246367E-2</v>
      </c>
      <c r="D26" s="14">
        <v>0.32507606539887124</v>
      </c>
      <c r="E26" s="28">
        <f t="shared" ca="1" si="1"/>
        <v>0.19072700114125329</v>
      </c>
      <c r="F26" s="13">
        <f ca="1">_xlfn.NORM.S.DIST((_xlfn.NORM.S.INV(C26)+(SQRT(E26)*_xlfn.NORM.S.INV($F$1)))/SQRT(1-E26),TRUE)</f>
        <v>0.37801416999212101</v>
      </c>
      <c r="G26" s="28">
        <f>+B26*C26*D26</f>
        <v>9.3209175017224227E-2</v>
      </c>
      <c r="H26" s="15">
        <f t="shared" ca="1" si="2"/>
        <v>0.6822025410820044</v>
      </c>
      <c r="I26" s="28">
        <f t="shared" ca="1" si="3"/>
        <v>0.58899336606478014</v>
      </c>
    </row>
    <row r="27" spans="1:9" x14ac:dyDescent="0.3">
      <c r="A27" s="22">
        <v>18</v>
      </c>
      <c r="B27" s="13">
        <v>10.810350799618719</v>
      </c>
      <c r="C27" s="25">
        <v>2.2563764262680433E-2</v>
      </c>
      <c r="D27" s="14">
        <v>0.57995192638740534</v>
      </c>
      <c r="E27" s="28">
        <f t="shared" ca="1" si="1"/>
        <v>0.99218984727795623</v>
      </c>
      <c r="F27" s="13">
        <f ca="1">_xlfn.NORM.S.DIST((_xlfn.NORM.S.INV(C27)+(SQRT(E27)*_xlfn.NORM.S.INV($F$1)))/SQRT(1-E27),TRUE)</f>
        <v>1</v>
      </c>
      <c r="G27" s="28">
        <f>+B27*C27*D27</f>
        <v>0.14146315386121144</v>
      </c>
      <c r="H27" s="15">
        <f t="shared" ca="1" si="2"/>
        <v>6.2694837711625038</v>
      </c>
      <c r="I27" s="28">
        <f t="shared" ca="1" si="3"/>
        <v>6.1280206173012921</v>
      </c>
    </row>
    <row r="28" spans="1:9" x14ac:dyDescent="0.3">
      <c r="A28" s="22">
        <v>19</v>
      </c>
      <c r="B28" s="13">
        <v>2.4392990203854126</v>
      </c>
      <c r="C28" s="25">
        <v>5.1540412703311021E-2</v>
      </c>
      <c r="D28" s="14">
        <v>0.56663508816453678</v>
      </c>
      <c r="E28" s="28">
        <f t="shared" ca="1" si="1"/>
        <v>0.55122152452508832</v>
      </c>
      <c r="F28" s="13">
        <f ca="1">_xlfn.NORM.S.DIST((_xlfn.NORM.S.INV(C28)+(SQRT(E28)*_xlfn.NORM.S.INV($F$1)))/SQRT(1-E28),TRUE)</f>
        <v>0.83928226986632493</v>
      </c>
      <c r="G28" s="28">
        <f>+B28*C28*D28</f>
        <v>7.1238767529006819E-2</v>
      </c>
      <c r="H28" s="15">
        <f t="shared" ca="1" si="2"/>
        <v>1.1600495878525114</v>
      </c>
      <c r="I28" s="28">
        <f t="shared" ca="1" si="3"/>
        <v>1.0888108203235047</v>
      </c>
    </row>
    <row r="29" spans="1:9" x14ac:dyDescent="0.3">
      <c r="A29" s="22">
        <v>20</v>
      </c>
      <c r="B29" s="13">
        <v>2.0337630665658049</v>
      </c>
      <c r="C29" s="25">
        <v>4.33881166579283E-2</v>
      </c>
      <c r="D29" s="14">
        <v>0.41513870386821605</v>
      </c>
      <c r="E29" s="28">
        <f t="shared" ca="1" si="1"/>
        <v>0.46548469111346169</v>
      </c>
      <c r="F29" s="13">
        <f ca="1">_xlfn.NORM.S.DIST((_xlfn.NORM.S.INV(C29)+(SQRT(E29)*_xlfn.NORM.S.INV($F$1)))/SQRT(1-E29),TRUE)</f>
        <v>0.70582796999404684</v>
      </c>
      <c r="G29" s="28">
        <f>+B29*C29*D29</f>
        <v>3.6632316301226431E-2</v>
      </c>
      <c r="H29" s="15">
        <f t="shared" ca="1" si="2"/>
        <v>0.59592615311984976</v>
      </c>
      <c r="I29" s="28">
        <f t="shared" ca="1" si="3"/>
        <v>0.55929383681862332</v>
      </c>
    </row>
    <row r="30" spans="1:9" x14ac:dyDescent="0.3">
      <c r="A30" s="22">
        <v>21</v>
      </c>
      <c r="B30" s="13">
        <v>7.6040831374540989</v>
      </c>
      <c r="C30" s="25">
        <v>3.1561189455238316E-2</v>
      </c>
      <c r="D30" s="14">
        <v>0.30486747389021596</v>
      </c>
      <c r="E30" s="28">
        <f t="shared" ca="1" si="1"/>
        <v>0.7652184831489599</v>
      </c>
      <c r="F30" s="13">
        <f ca="1">_xlfn.NORM.S.DIST((_xlfn.NORM.S.INV(C30)+(SQRT(E30)*_xlfn.NORM.S.INV($F$1)))/SQRT(1-E30),TRUE)</f>
        <v>0.95939607812112682</v>
      </c>
      <c r="G30" s="28">
        <f>+B30*C30*D30</f>
        <v>7.3166336643974442E-2</v>
      </c>
      <c r="H30" s="15">
        <f t="shared" ca="1" si="2"/>
        <v>2.2241080782545914</v>
      </c>
      <c r="I30" s="28">
        <f t="shared" ca="1" si="3"/>
        <v>2.1509417416106169</v>
      </c>
    </row>
    <row r="31" spans="1:9" x14ac:dyDescent="0.3">
      <c r="A31" s="22">
        <v>22</v>
      </c>
      <c r="B31" s="13">
        <v>1.2042242395827631</v>
      </c>
      <c r="C31" s="25">
        <v>3.4485471405317374E-2</v>
      </c>
      <c r="D31" s="14">
        <v>0.403886053990132</v>
      </c>
      <c r="E31" s="28">
        <f t="shared" ca="1" si="1"/>
        <v>0.73881978922827785</v>
      </c>
      <c r="F31" s="13">
        <f ca="1">_xlfn.NORM.S.DIST((_xlfn.NORM.S.INV(C31)+(SQRT(E31)*_xlfn.NORM.S.INV($F$1)))/SQRT(1-E31),TRUE)</f>
        <v>0.94938596192974845</v>
      </c>
      <c r="G31" s="28">
        <f>+B31*C31*D31</f>
        <v>1.6772677216896563E-2</v>
      </c>
      <c r="H31" s="15">
        <f t="shared" ca="1" si="2"/>
        <v>0.46175225811891352</v>
      </c>
      <c r="I31" s="28">
        <f t="shared" ca="1" si="3"/>
        <v>0.44497958090201695</v>
      </c>
    </row>
    <row r="32" spans="1:9" x14ac:dyDescent="0.3">
      <c r="A32" s="22">
        <v>23</v>
      </c>
      <c r="B32" s="13">
        <v>1.9040274624121991</v>
      </c>
      <c r="C32" s="25">
        <v>5.1173143042301278E-2</v>
      </c>
      <c r="D32" s="14">
        <v>0.45547307616928723</v>
      </c>
      <c r="E32" s="28">
        <f t="shared" ca="1" si="1"/>
        <v>0.94451726168131767</v>
      </c>
      <c r="F32" s="13">
        <f ca="1">_xlfn.NORM.S.DIST((_xlfn.NORM.S.INV(C32)+(SQRT(E32)*_xlfn.NORM.S.INV($F$1)))/SQRT(1-E32),TRUE)</f>
        <v>0.99999999696737552</v>
      </c>
      <c r="G32" s="28">
        <f>+B32*C32*D32</f>
        <v>4.4379050918696081E-2</v>
      </c>
      <c r="H32" s="15">
        <f t="shared" ca="1" si="2"/>
        <v>0.86723324278569347</v>
      </c>
      <c r="I32" s="28">
        <f t="shared" ca="1" si="3"/>
        <v>0.82285419186699738</v>
      </c>
    </row>
    <row r="33" spans="1:9" x14ac:dyDescent="0.3">
      <c r="A33" s="22">
        <v>24</v>
      </c>
      <c r="B33" s="13">
        <v>4.7082329484135581</v>
      </c>
      <c r="C33" s="25">
        <v>5.0923398407887212E-2</v>
      </c>
      <c r="D33" s="14">
        <v>0.23046413256599207</v>
      </c>
      <c r="E33" s="28">
        <f t="shared" ca="1" si="1"/>
        <v>0.21147575100267879</v>
      </c>
      <c r="F33" s="13">
        <f ca="1">_xlfn.NORM.S.DIST((_xlfn.NORM.S.INV(C33)+(SQRT(E33)*_xlfn.NORM.S.INV($F$1)))/SQRT(1-E33),TRUE)</f>
        <v>0.40439758972060613</v>
      </c>
      <c r="G33" s="28">
        <f>+B33*C33*D33</f>
        <v>5.5255901175750674E-2</v>
      </c>
      <c r="H33" s="15">
        <f t="shared" ca="1" si="2"/>
        <v>0.43880326042522422</v>
      </c>
      <c r="I33" s="28">
        <f t="shared" ca="1" si="3"/>
        <v>0.38354735924947353</v>
      </c>
    </row>
    <row r="34" spans="1:9" x14ac:dyDescent="0.3">
      <c r="A34" s="22">
        <v>25</v>
      </c>
      <c r="B34" s="13">
        <v>7.6602214236586637</v>
      </c>
      <c r="C34" s="25">
        <v>1.0333077966292938E-2</v>
      </c>
      <c r="D34" s="14">
        <v>0.49094368618115669</v>
      </c>
      <c r="E34" s="28">
        <f t="shared" ca="1" si="1"/>
        <v>0.68200817306652417</v>
      </c>
      <c r="F34" s="13">
        <f ca="1">_xlfn.NORM.S.DIST((_xlfn.NORM.S.INV(C34)+(SQRT(E34)*_xlfn.NORM.S.INV($F$1)))/SQRT(1-E34),TRUE)</f>
        <v>0.66350901700476728</v>
      </c>
      <c r="G34" s="28">
        <f>+B34*C34*D34</f>
        <v>3.885999217281523E-2</v>
      </c>
      <c r="H34" s="15">
        <f t="shared" ca="1" si="2"/>
        <v>2.4952831374645821</v>
      </c>
      <c r="I34" s="28">
        <f t="shared" ca="1" si="3"/>
        <v>2.4564231452917666</v>
      </c>
    </row>
    <row r="35" spans="1:9" x14ac:dyDescent="0.3">
      <c r="A35" s="22">
        <v>26</v>
      </c>
      <c r="B35" s="13">
        <v>1.4027930630655707</v>
      </c>
      <c r="C35" s="25">
        <v>5.5289399739773384E-2</v>
      </c>
      <c r="D35" s="14">
        <v>0.25692441508306896</v>
      </c>
      <c r="E35" s="28">
        <f t="shared" ca="1" si="1"/>
        <v>0.40107900505627048</v>
      </c>
      <c r="F35" s="13">
        <f ca="1">_xlfn.NORM.S.DIST((_xlfn.NORM.S.INV(C35)+(SQRT(E35)*_xlfn.NORM.S.INV($F$1)))/SQRT(1-E35),TRUE)</f>
        <v>0.67977805857706008</v>
      </c>
      <c r="G35" s="28">
        <f>+B35*C35*D35</f>
        <v>1.9926951374019002E-2</v>
      </c>
      <c r="H35" s="15">
        <f t="shared" ca="1" si="2"/>
        <v>0.24500002499838389</v>
      </c>
      <c r="I35" s="28">
        <f t="shared" ca="1" si="3"/>
        <v>0.22507307362436488</v>
      </c>
    </row>
    <row r="36" spans="1:9" x14ac:dyDescent="0.3">
      <c r="A36" s="22">
        <v>27</v>
      </c>
      <c r="B36" s="13">
        <v>8.5456788881981609</v>
      </c>
      <c r="C36" s="25">
        <v>1.3568750867256852E-2</v>
      </c>
      <c r="D36" s="14">
        <v>0.6633103429721009</v>
      </c>
      <c r="E36" s="28">
        <f t="shared" ca="1" si="1"/>
        <v>0.98837109689246727</v>
      </c>
      <c r="F36" s="13">
        <f ca="1">_xlfn.NORM.S.DIST((_xlfn.NORM.S.INV(C36)+(SQRT(E36)*_xlfn.NORM.S.INV($F$1)))/SQRT(1-E36),TRUE)</f>
        <v>0.99999999999999933</v>
      </c>
      <c r="G36" s="28">
        <f>+B36*C36*D36</f>
        <v>7.6913612095608597E-2</v>
      </c>
      <c r="H36" s="15">
        <f t="shared" ca="1" si="2"/>
        <v>5.6684371942601608</v>
      </c>
      <c r="I36" s="28">
        <f t="shared" ca="1" si="3"/>
        <v>5.5915235821645526</v>
      </c>
    </row>
    <row r="37" spans="1:9" x14ac:dyDescent="0.3">
      <c r="A37" s="22">
        <v>28</v>
      </c>
      <c r="B37" s="13">
        <v>3.8464858734122203</v>
      </c>
      <c r="C37" s="25">
        <v>2.5097972684428302E-2</v>
      </c>
      <c r="D37" s="14">
        <v>0.24368356601692198</v>
      </c>
      <c r="E37" s="28">
        <f t="shared" ca="1" si="1"/>
        <v>0.36340460403660868</v>
      </c>
      <c r="F37" s="13">
        <f ca="1">_xlfn.NORM.S.DIST((_xlfn.NORM.S.INV(C37)+(SQRT(E37)*_xlfn.NORM.S.INV($F$1)))/SQRT(1-E37),TRUE)</f>
        <v>0.45241044628990063</v>
      </c>
      <c r="G37" s="28">
        <f>+B37*C37*D37</f>
        <v>2.3524967141729251E-2</v>
      </c>
      <c r="H37" s="15">
        <f t="shared" ca="1" si="2"/>
        <v>0.42405579993910214</v>
      </c>
      <c r="I37" s="28">
        <f t="shared" ca="1" si="3"/>
        <v>0.40053083279737289</v>
      </c>
    </row>
    <row r="38" spans="1:9" x14ac:dyDescent="0.3">
      <c r="A38" s="22">
        <v>29</v>
      </c>
      <c r="B38" s="13">
        <v>8.1231984726683866</v>
      </c>
      <c r="C38" s="25">
        <v>5.2469387805803167E-2</v>
      </c>
      <c r="D38" s="14">
        <v>0.56505132067971264</v>
      </c>
      <c r="E38" s="28">
        <f t="shared" ca="1" si="1"/>
        <v>0.48530584705118596</v>
      </c>
      <c r="F38" s="13">
        <f ca="1">_xlfn.NORM.S.DIST((_xlfn.NORM.S.INV(C38)+(SQRT(E38)*_xlfn.NORM.S.INV($F$1)))/SQRT(1-E38),TRUE)</f>
        <v>0.77056824498429877</v>
      </c>
      <c r="G38" s="28">
        <f>+B38*C38*D38</f>
        <v>0.24083575061222132</v>
      </c>
      <c r="H38" s="15">
        <f t="shared" ca="1" si="2"/>
        <v>3.5369267574761039</v>
      </c>
      <c r="I38" s="28">
        <f t="shared" ca="1" si="3"/>
        <v>3.2960910068638825</v>
      </c>
    </row>
    <row r="39" spans="1:9" x14ac:dyDescent="0.3">
      <c r="A39" s="22">
        <v>30</v>
      </c>
      <c r="B39" s="13">
        <v>4.6802302020514697</v>
      </c>
      <c r="C39" s="25">
        <v>5.6651472614051054E-2</v>
      </c>
      <c r="D39" s="14">
        <v>0.4722905932909065</v>
      </c>
      <c r="E39" s="28">
        <f t="shared" ca="1" si="1"/>
        <v>0.10413087299738077</v>
      </c>
      <c r="F39" s="13">
        <f ca="1">_xlfn.NORM.S.DIST((_xlfn.NORM.S.INV(C39)+(SQRT(E39)*_xlfn.NORM.S.INV($F$1)))/SQRT(1-E39),TRUE)</f>
        <v>0.26780590038093005</v>
      </c>
      <c r="G39" s="28">
        <f>+B39*C39*D39</f>
        <v>0.12522404089905784</v>
      </c>
      <c r="H39" s="15">
        <f t="shared" ca="1" si="2"/>
        <v>0.5919658479273644</v>
      </c>
      <c r="I39" s="28">
        <f t="shared" ca="1" si="3"/>
        <v>0.46674180702830659</v>
      </c>
    </row>
    <row r="40" spans="1:9" x14ac:dyDescent="0.3">
      <c r="A40" s="22">
        <v>31</v>
      </c>
      <c r="B40" s="13">
        <v>10.869400565290459</v>
      </c>
      <c r="C40" s="25">
        <v>3.0565378751610764E-2</v>
      </c>
      <c r="D40" s="14">
        <v>0.63461637672113402</v>
      </c>
      <c r="E40" s="28">
        <f t="shared" ca="1" si="1"/>
        <v>0.63197532555971436</v>
      </c>
      <c r="F40" s="13">
        <f ca="1">_xlfn.NORM.S.DIST((_xlfn.NORM.S.INV(C40)+(SQRT(E40)*_xlfn.NORM.S.INV($F$1)))/SQRT(1-E40),TRUE)</f>
        <v>0.83217880089304908</v>
      </c>
      <c r="G40" s="28">
        <f>+B40*C40*D40</f>
        <v>0.21083691398303367</v>
      </c>
      <c r="H40" s="15">
        <f t="shared" ca="1" si="2"/>
        <v>5.7402858210335665</v>
      </c>
      <c r="I40" s="28">
        <f t="shared" ca="1" si="3"/>
        <v>5.5294489070505328</v>
      </c>
    </row>
    <row r="41" spans="1:9" x14ac:dyDescent="0.3">
      <c r="A41" s="22">
        <v>32</v>
      </c>
      <c r="B41" s="13">
        <v>3.9146664010255066</v>
      </c>
      <c r="C41" s="25">
        <v>5.3612601656484307E-2</v>
      </c>
      <c r="D41" s="14">
        <v>0.26427613870425681</v>
      </c>
      <c r="E41" s="28">
        <f t="shared" ca="1" si="1"/>
        <v>0.86915309415725195</v>
      </c>
      <c r="F41" s="13">
        <f ca="1">_xlfn.NORM.S.DIST((_xlfn.NORM.S.INV(C41)+(SQRT(E41)*_xlfn.NORM.S.INV($F$1)))/SQRT(1-E41),TRUE)</f>
        <v>0.9997771503994809</v>
      </c>
      <c r="G41" s="28">
        <f>+B41*C41*D41</f>
        <v>5.5465073634239935E-2</v>
      </c>
      <c r="H41" s="15">
        <f t="shared" ca="1" si="2"/>
        <v>1.0343223710731992</v>
      </c>
      <c r="I41" s="28">
        <f t="shared" ca="1" si="3"/>
        <v>0.97885729743895933</v>
      </c>
    </row>
    <row r="42" spans="1:9" x14ac:dyDescent="0.3">
      <c r="A42" s="22">
        <v>33</v>
      </c>
      <c r="B42" s="13">
        <v>4.5075024080426545</v>
      </c>
      <c r="C42" s="25">
        <v>1.2662826088776969E-2</v>
      </c>
      <c r="D42" s="14">
        <v>0.62262389971490506</v>
      </c>
      <c r="E42" s="28">
        <f t="shared" ca="1" si="1"/>
        <v>0.1001920248897139</v>
      </c>
      <c r="F42" s="13">
        <f ca="1">_xlfn.NORM.S.DIST((_xlfn.NORM.S.INV(C42)+(SQRT(E42)*_xlfn.NORM.S.INV($F$1)))/SQRT(1-E42),TRUE)</f>
        <v>9.234584102901465E-2</v>
      </c>
      <c r="G42" s="28">
        <f>+B42*C42*D42</f>
        <v>3.5537952045270146E-2</v>
      </c>
      <c r="H42" s="15">
        <f t="shared" ca="1" si="2"/>
        <v>0.25916663839977228</v>
      </c>
      <c r="I42" s="28">
        <f t="shared" ca="1" si="3"/>
        <v>0.22362868635450212</v>
      </c>
    </row>
    <row r="43" spans="1:9" x14ac:dyDescent="0.3">
      <c r="A43" s="22">
        <v>34</v>
      </c>
      <c r="B43" s="13">
        <v>5.9805708989118322</v>
      </c>
      <c r="C43" s="25">
        <v>1.0169743635614443E-2</v>
      </c>
      <c r="D43" s="14">
        <v>0.68983689975407003</v>
      </c>
      <c r="E43" s="28">
        <f t="shared" ca="1" si="1"/>
        <v>0.4774076843184567</v>
      </c>
      <c r="F43" s="13">
        <f ca="1">_xlfn.NORM.S.DIST((_xlfn.NORM.S.INV(C43)+(SQRT(E43)*_xlfn.NORM.S.INV($F$1)))/SQRT(1-E43),TRUE)</f>
        <v>0.39909541918209512</v>
      </c>
      <c r="G43" s="28">
        <f>+B43*C43*D43</f>
        <v>4.1956482357901878E-2</v>
      </c>
      <c r="H43" s="15">
        <f t="shared" ca="1" si="2"/>
        <v>1.6465154397199648</v>
      </c>
      <c r="I43" s="28">
        <f t="shared" ca="1" si="3"/>
        <v>1.6045589573620629</v>
      </c>
    </row>
    <row r="44" spans="1:9" x14ac:dyDescent="0.3">
      <c r="A44" s="22">
        <v>35</v>
      </c>
      <c r="B44" s="13">
        <v>7.1054239339434009</v>
      </c>
      <c r="C44" s="25">
        <v>3.0055523740202525E-2</v>
      </c>
      <c r="D44" s="14">
        <v>0.5300793531943534</v>
      </c>
      <c r="E44" s="28">
        <f t="shared" ca="1" si="1"/>
        <v>0.21306251774177765</v>
      </c>
      <c r="F44" s="13">
        <f ca="1">_xlfn.NORM.S.DIST((_xlfn.NORM.S.INV(C44)+(SQRT(E44)*_xlfn.NORM.S.INV($F$1)))/SQRT(1-E44),TRUE)</f>
        <v>0.30457222638618497</v>
      </c>
      <c r="G44" s="28">
        <f>+B44*C44*D44</f>
        <v>0.11320228244633596</v>
      </c>
      <c r="H44" s="15">
        <f t="shared" ca="1" si="2"/>
        <v>1.1471525665200724</v>
      </c>
      <c r="I44" s="28">
        <f t="shared" ca="1" si="3"/>
        <v>1.0339502840737365</v>
      </c>
    </row>
    <row r="45" spans="1:9" x14ac:dyDescent="0.3">
      <c r="A45" s="22">
        <v>36</v>
      </c>
      <c r="B45" s="13">
        <v>9.300905112553421</v>
      </c>
      <c r="C45" s="25">
        <v>4.8454472836271259E-2</v>
      </c>
      <c r="D45" s="14">
        <v>0.59785757576352738</v>
      </c>
      <c r="E45" s="28">
        <f t="shared" ca="1" si="1"/>
        <v>0.46012997306692016</v>
      </c>
      <c r="F45" s="13">
        <f ca="1">_xlfn.NORM.S.DIST((_xlfn.NORM.S.INV(C45)+(SQRT(E45)*_xlfn.NORM.S.INV($F$1)))/SQRT(1-E45),TRUE)</f>
        <v>0.7236163464510742</v>
      </c>
      <c r="G45" s="28">
        <f>+B45*C45*D45</f>
        <v>0.26943674517378574</v>
      </c>
      <c r="H45" s="15">
        <f t="shared" ca="1" si="2"/>
        <v>4.0237530558041144</v>
      </c>
      <c r="I45" s="28">
        <f t="shared" ca="1" si="3"/>
        <v>3.7543163106303288</v>
      </c>
    </row>
    <row r="46" spans="1:9" x14ac:dyDescent="0.3">
      <c r="A46" s="22">
        <v>37</v>
      </c>
      <c r="B46" s="13">
        <v>2.3490249279405497</v>
      </c>
      <c r="C46" s="25">
        <v>5.1910534861334505E-2</v>
      </c>
      <c r="D46" s="14">
        <v>0.23975885554750409</v>
      </c>
      <c r="E46" s="28">
        <f t="shared" ca="1" si="1"/>
        <v>0.71207455486823878</v>
      </c>
      <c r="F46" s="13">
        <f ca="1">_xlfn.NORM.S.DIST((_xlfn.NORM.S.INV(C46)+(SQRT(E46)*_xlfn.NORM.S.INV($F$1)))/SQRT(1-E46),TRUE)</f>
        <v>0.96625205001949643</v>
      </c>
      <c r="G46" s="28">
        <f>+B46*C46*D46</f>
        <v>2.9235988751627931E-2</v>
      </c>
      <c r="H46" s="15">
        <f t="shared" ca="1" si="2"/>
        <v>0.54419269886292199</v>
      </c>
      <c r="I46" s="28">
        <f t="shared" ca="1" si="3"/>
        <v>0.51495671011129407</v>
      </c>
    </row>
    <row r="47" spans="1:9" x14ac:dyDescent="0.3">
      <c r="A47" s="22">
        <v>38</v>
      </c>
      <c r="B47" s="13">
        <v>8.7384925209793689</v>
      </c>
      <c r="C47" s="25">
        <v>5.3613842072692874E-2</v>
      </c>
      <c r="D47" s="14">
        <v>0.59498578725052254</v>
      </c>
      <c r="E47" s="28">
        <f t="shared" ca="1" si="1"/>
        <v>0.42088875139274162</v>
      </c>
      <c r="F47" s="13">
        <f ca="1">_xlfn.NORM.S.DIST((_xlfn.NORM.S.INV(C47)+(SQRT(E47)*_xlfn.NORM.S.INV($F$1)))/SQRT(1-E47),TRUE)</f>
        <v>0.69769869166570553</v>
      </c>
      <c r="G47" s="28">
        <f>+B47*C47*D47</f>
        <v>0.27875331526182501</v>
      </c>
      <c r="H47" s="15">
        <f t="shared" ca="1" si="2"/>
        <v>3.6275300526300218</v>
      </c>
      <c r="I47" s="28">
        <f t="shared" ca="1" si="3"/>
        <v>3.3487767373681967</v>
      </c>
    </row>
    <row r="48" spans="1:9" x14ac:dyDescent="0.3">
      <c r="A48" s="22">
        <v>39</v>
      </c>
      <c r="B48" s="13">
        <v>9.8772310935891028</v>
      </c>
      <c r="C48" s="25">
        <v>3.2505942566761169E-2</v>
      </c>
      <c r="D48" s="14">
        <v>0.60117178113189695</v>
      </c>
      <c r="E48" s="28">
        <f t="shared" ca="1" si="1"/>
        <v>2.0844556267836434E-2</v>
      </c>
      <c r="F48" s="13">
        <f ca="1">_xlfn.NORM.S.DIST((_xlfn.NORM.S.INV(C48)+(SQRT(E48)*_xlfn.NORM.S.INV($F$1)))/SQRT(1-E48),TRUE)</f>
        <v>7.870552980113435E-2</v>
      </c>
      <c r="G48" s="28">
        <f>+B48*C48*D48</f>
        <v>0.19301744624059233</v>
      </c>
      <c r="H48" s="15">
        <f t="shared" ca="1" si="2"/>
        <v>0.46734655781868756</v>
      </c>
      <c r="I48" s="28">
        <f t="shared" ca="1" si="3"/>
        <v>0.27432911157809525</v>
      </c>
    </row>
    <row r="49" spans="1:9" x14ac:dyDescent="0.3">
      <c r="A49" s="22">
        <v>40</v>
      </c>
      <c r="B49" s="13">
        <v>9.3966024763096989</v>
      </c>
      <c r="C49" s="25">
        <v>4.3424758897292831E-2</v>
      </c>
      <c r="D49" s="14">
        <v>0.64678015251833931</v>
      </c>
      <c r="E49" s="28">
        <f t="shared" ca="1" si="1"/>
        <v>0.2009067855613853</v>
      </c>
      <c r="F49" s="13">
        <f ca="1">_xlfn.NORM.S.DIST((_xlfn.NORM.S.INV(C49)+(SQRT(E49)*_xlfn.NORM.S.INV($F$1)))/SQRT(1-E49),TRUE)</f>
        <v>0.35720012904892279</v>
      </c>
      <c r="G49" s="28">
        <f>+B49*C49*D49</f>
        <v>0.26391553474192098</v>
      </c>
      <c r="H49" s="15">
        <f t="shared" ca="1" si="2"/>
        <v>2.1708966373491281</v>
      </c>
      <c r="I49" s="28">
        <f t="shared" ca="1" si="3"/>
        <v>1.9069811026072072</v>
      </c>
    </row>
    <row r="50" spans="1:9" x14ac:dyDescent="0.3">
      <c r="A50" s="22">
        <v>41</v>
      </c>
      <c r="B50" s="13">
        <v>8.6976848888820086</v>
      </c>
      <c r="C50" s="25">
        <v>4.7348815314400321E-2</v>
      </c>
      <c r="D50" s="14">
        <v>0.29802319506158736</v>
      </c>
      <c r="E50" s="28">
        <f t="shared" ca="1" si="1"/>
        <v>0.43036090706340457</v>
      </c>
      <c r="F50" s="13">
        <f ca="1">_xlfn.NORM.S.DIST((_xlfn.NORM.S.INV(C50)+(SQRT(E50)*_xlfn.NORM.S.INV($F$1)))/SQRT(1-E50),TRUE)</f>
        <v>0.68148456460807982</v>
      </c>
      <c r="G50" s="28">
        <f>+B50*C50*D50</f>
        <v>0.12273342479701302</v>
      </c>
      <c r="H50" s="15">
        <f t="shared" ca="1" si="2"/>
        <v>1.7664842088501629</v>
      </c>
      <c r="I50" s="28">
        <f t="shared" ca="1" si="3"/>
        <v>1.6437507840531498</v>
      </c>
    </row>
    <row r="51" spans="1:9" x14ac:dyDescent="0.3">
      <c r="A51" s="22">
        <v>42</v>
      </c>
      <c r="B51" s="13">
        <v>8.9204542415548627</v>
      </c>
      <c r="C51" s="25">
        <v>1.3674280994419225E-2</v>
      </c>
      <c r="D51" s="14">
        <v>0.27041723174687338</v>
      </c>
      <c r="E51" s="28">
        <f t="shared" ca="1" si="1"/>
        <v>0.41629574801267211</v>
      </c>
      <c r="F51" s="13">
        <f ca="1">_xlfn.NORM.S.DIST((_xlfn.NORM.S.INV(C51)+(SQRT(E51)*_xlfn.NORM.S.INV($F$1)))/SQRT(1-E51),TRUE)</f>
        <v>0.39037326076951739</v>
      </c>
      <c r="G51" s="28">
        <f>+B51*C51*D51</f>
        <v>3.298570969354913E-2</v>
      </c>
      <c r="H51" s="15">
        <f t="shared" ca="1" si="2"/>
        <v>0.94167576760509253</v>
      </c>
      <c r="I51" s="28">
        <f t="shared" ca="1" si="3"/>
        <v>0.90869005791154345</v>
      </c>
    </row>
    <row r="52" spans="1:9" x14ac:dyDescent="0.3">
      <c r="A52" s="22">
        <v>43</v>
      </c>
      <c r="B52" s="13">
        <v>6.6109332185481611</v>
      </c>
      <c r="C52" s="25">
        <v>5.676202379632414E-2</v>
      </c>
      <c r="D52" s="14">
        <v>0.46055551204184697</v>
      </c>
      <c r="E52" s="28">
        <f t="shared" ca="1" si="1"/>
        <v>0.92335028593574209</v>
      </c>
      <c r="F52" s="13">
        <f ca="1">_xlfn.NORM.S.DIST((_xlfn.NORM.S.INV(C52)+(SQRT(E52)*_xlfn.NORM.S.INV($F$1)))/SQRT(1-E52),TRUE)</f>
        <v>0.99999972701018691</v>
      </c>
      <c r="G52" s="28">
        <f>+B52*C52*D52</f>
        <v>0.17282343225207167</v>
      </c>
      <c r="H52" s="15">
        <f t="shared" ca="1" si="2"/>
        <v>3.0447009023703466</v>
      </c>
      <c r="I52" s="28">
        <f t="shared" ca="1" si="3"/>
        <v>2.871877470118275</v>
      </c>
    </row>
    <row r="53" spans="1:9" x14ac:dyDescent="0.3">
      <c r="A53" s="22">
        <v>44</v>
      </c>
      <c r="B53" s="13">
        <v>1.2550974996021949</v>
      </c>
      <c r="C53" s="25">
        <v>3.6418290708041159E-2</v>
      </c>
      <c r="D53" s="14">
        <v>0.63229804231588249</v>
      </c>
      <c r="E53" s="28">
        <f t="shared" ca="1" si="1"/>
        <v>0.62399066615176435</v>
      </c>
      <c r="F53" s="13">
        <f ca="1">_xlfn.NORM.S.DIST((_xlfn.NORM.S.INV(C53)+(SQRT(E53)*_xlfn.NORM.S.INV($F$1)))/SQRT(1-E53),TRUE)</f>
        <v>0.85439715763615087</v>
      </c>
      <c r="G53" s="28">
        <f>+B53*C53*D53</f>
        <v>2.8901398612774101E-2</v>
      </c>
      <c r="H53" s="15">
        <f t="shared" ca="1" si="2"/>
        <v>0.67804590348363902</v>
      </c>
      <c r="I53" s="28">
        <f t="shared" ca="1" si="3"/>
        <v>0.64914450487086495</v>
      </c>
    </row>
    <row r="54" spans="1:9" x14ac:dyDescent="0.3">
      <c r="A54" s="22">
        <v>45</v>
      </c>
      <c r="B54" s="13">
        <v>3.6993869665247816</v>
      </c>
      <c r="C54" s="25">
        <v>3.795859199446161E-2</v>
      </c>
      <c r="D54" s="14">
        <v>0.28290816055339119</v>
      </c>
      <c r="E54" s="28">
        <f t="shared" ca="1" si="1"/>
        <v>0.21843940815834684</v>
      </c>
      <c r="F54" s="13">
        <f ca="1">_xlfn.NORM.S.DIST((_xlfn.NORM.S.INV(C54)+(SQRT(E54)*_xlfn.NORM.S.INV($F$1)))/SQRT(1-E54),TRUE)</f>
        <v>0.3542241912896732</v>
      </c>
      <c r="G54" s="28">
        <f>+B54*C54*D54</f>
        <v>3.9726959880807086E-2</v>
      </c>
      <c r="H54" s="15">
        <f t="shared" ca="1" si="2"/>
        <v>0.37072634933954896</v>
      </c>
      <c r="I54" s="28">
        <f t="shared" ca="1" si="3"/>
        <v>0.33099938945874186</v>
      </c>
    </row>
    <row r="55" spans="1:9" x14ac:dyDescent="0.3">
      <c r="A55" s="22">
        <v>46</v>
      </c>
      <c r="B55" s="13">
        <v>4.8315484401644753</v>
      </c>
      <c r="C55" s="25">
        <v>4.0418583064794865E-2</v>
      </c>
      <c r="D55" s="14">
        <v>0.44450404250639997</v>
      </c>
      <c r="E55" s="28">
        <f t="shared" ca="1" si="1"/>
        <v>0.75419149913370476</v>
      </c>
      <c r="F55" s="13">
        <f ca="1">_xlfn.NORM.S.DIST((_xlfn.NORM.S.INV(C55)+(SQRT(E55)*_xlfn.NORM.S.INV($F$1)))/SQRT(1-E55),TRUE)</f>
        <v>0.97072791987247331</v>
      </c>
      <c r="G55" s="28">
        <f>+B55*C55*D55</f>
        <v>8.6804679439585725E-2</v>
      </c>
      <c r="H55" s="15">
        <f t="shared" ca="1" si="2"/>
        <v>2.0847768407047589</v>
      </c>
      <c r="I55" s="28">
        <f t="shared" ca="1" si="3"/>
        <v>1.9979721612651731</v>
      </c>
    </row>
    <row r="56" spans="1:9" x14ac:dyDescent="0.3">
      <c r="A56" s="22">
        <v>47</v>
      </c>
      <c r="B56" s="13">
        <v>4.9206383359559558</v>
      </c>
      <c r="C56" s="25">
        <v>4.1871553647260272E-2</v>
      </c>
      <c r="D56" s="14">
        <v>0.31914538221676392</v>
      </c>
      <c r="E56" s="28">
        <f t="shared" ca="1" si="1"/>
        <v>0.69441956848207764</v>
      </c>
      <c r="F56" s="13">
        <f ca="1">_xlfn.NORM.S.DIST((_xlfn.NORM.S.INV(C56)+(SQRT(E56)*_xlfn.NORM.S.INV($F$1)))/SQRT(1-E56),TRUE)</f>
        <v>0.93699273258045856</v>
      </c>
      <c r="G56" s="28">
        <f>+B56*C56*D56</f>
        <v>6.5755046079908688E-2</v>
      </c>
      <c r="H56" s="15">
        <f t="shared" ca="1" si="2"/>
        <v>1.4714524525745414</v>
      </c>
      <c r="I56" s="28">
        <f t="shared" ca="1" si="3"/>
        <v>1.4056974064946326</v>
      </c>
    </row>
    <row r="57" spans="1:9" x14ac:dyDescent="0.3">
      <c r="A57" s="22">
        <v>48</v>
      </c>
      <c r="B57" s="13">
        <v>8.0516670143246962</v>
      </c>
      <c r="C57" s="25">
        <v>4.3646293932275725E-2</v>
      </c>
      <c r="D57" s="14">
        <v>0.29875486333017853</v>
      </c>
      <c r="E57" s="28">
        <f t="shared" ca="1" si="1"/>
        <v>0.5842141162932547</v>
      </c>
      <c r="F57" s="13">
        <f ca="1">_xlfn.NORM.S.DIST((_xlfn.NORM.S.INV(C57)+(SQRT(E57)*_xlfn.NORM.S.INV($F$1)))/SQRT(1-E57),TRUE)</f>
        <v>0.84407414921840962</v>
      </c>
      <c r="G57" s="28">
        <f>+B57*C57*D57</f>
        <v>0.10499005486204299</v>
      </c>
      <c r="H57" s="15">
        <f t="shared" ca="1" si="2"/>
        <v>2.030398992674622</v>
      </c>
      <c r="I57" s="28">
        <f t="shared" ca="1" si="3"/>
        <v>1.9254089378125789</v>
      </c>
    </row>
    <row r="58" spans="1:9" x14ac:dyDescent="0.3">
      <c r="A58" s="22">
        <v>49</v>
      </c>
      <c r="B58" s="13">
        <v>6.9514260211182624</v>
      </c>
      <c r="C58" s="25">
        <v>4.5988347961935357E-2</v>
      </c>
      <c r="D58" s="14">
        <v>0.68617424011340833</v>
      </c>
      <c r="E58" s="28">
        <f t="shared" ca="1" si="1"/>
        <v>0.15617165935392585</v>
      </c>
      <c r="F58" s="13">
        <f ca="1">_xlfn.NORM.S.DIST((_xlfn.NORM.S.INV(C58)+(SQRT(E58)*_xlfn.NORM.S.INV($F$1)))/SQRT(1-E58),TRUE)</f>
        <v>0.30679754327018061</v>
      </c>
      <c r="G58" s="28">
        <f>+B58*C58*D58</f>
        <v>0.21935933658264595</v>
      </c>
      <c r="H58" s="15">
        <f t="shared" ca="1" si="2"/>
        <v>1.4633903703745972</v>
      </c>
      <c r="I58" s="28">
        <f t="shared" ca="1" si="3"/>
        <v>1.2440310337919511</v>
      </c>
    </row>
    <row r="59" spans="1:9" x14ac:dyDescent="0.3">
      <c r="A59" s="22">
        <v>50</v>
      </c>
      <c r="B59" s="13">
        <v>8.3901456324162869</v>
      </c>
      <c r="C59" s="25">
        <v>5.8158710199308669E-2</v>
      </c>
      <c r="D59" s="14">
        <v>0.47821276883639796</v>
      </c>
      <c r="E59" s="28">
        <f t="shared" ca="1" si="1"/>
        <v>0.78828669440146892</v>
      </c>
      <c r="F59" s="13">
        <f ca="1">_xlfn.NORM.S.DIST((_xlfn.NORM.S.INV(C59)+(SQRT(E59)*_xlfn.NORM.S.INV($F$1)))/SQRT(1-E59),TRUE)</f>
        <v>0.99461198948371499</v>
      </c>
      <c r="G59" s="28">
        <f>+B59*C59*D59</f>
        <v>0.23334872581050128</v>
      </c>
      <c r="H59" s="15">
        <f t="shared" ca="1" si="2"/>
        <v>3.9906565951428452</v>
      </c>
      <c r="I59" s="28">
        <f t="shared" ca="1" si="3"/>
        <v>3.7573078693323438</v>
      </c>
    </row>
    <row r="60" spans="1:9" x14ac:dyDescent="0.3">
      <c r="A60" s="22">
        <v>51</v>
      </c>
      <c r="B60" s="13">
        <v>3.5906797538514317</v>
      </c>
      <c r="C60" s="25">
        <v>2.1663832222160669E-2</v>
      </c>
      <c r="D60" s="14">
        <v>0.37728556210490194</v>
      </c>
      <c r="E60" s="28">
        <f t="shared" ca="1" si="1"/>
        <v>0.51572152404265748</v>
      </c>
      <c r="F60" s="13">
        <f ca="1">_xlfn.NORM.S.DIST((_xlfn.NORM.S.INV(C60)+(SQRT(E60)*_xlfn.NORM.S.INV($F$1)))/SQRT(1-E60),TRUE)</f>
        <v>0.6123664370043792</v>
      </c>
      <c r="G60" s="28">
        <f>+B60*C60*D60</f>
        <v>2.9348245445926652E-2</v>
      </c>
      <c r="H60" s="15">
        <f t="shared" ca="1" si="2"/>
        <v>0.82957993358479087</v>
      </c>
      <c r="I60" s="28">
        <f t="shared" ca="1" si="3"/>
        <v>0.80023168813886425</v>
      </c>
    </row>
    <row r="61" spans="1:9" x14ac:dyDescent="0.3">
      <c r="A61" s="22">
        <v>52</v>
      </c>
      <c r="B61" s="13">
        <v>8.5378732197979161</v>
      </c>
      <c r="C61" s="25">
        <v>2.996236509505823E-2</v>
      </c>
      <c r="D61" s="14">
        <v>0.61104187246048813</v>
      </c>
      <c r="E61" s="28">
        <f t="shared" ca="1" si="1"/>
        <v>0.85786421041887084</v>
      </c>
      <c r="F61" s="13">
        <f ca="1">_xlfn.NORM.S.DIST((_xlfn.NORM.S.INV(C61)+(SQRT(E61)*_xlfn.NORM.S.INV($F$1)))/SQRT(1-E61),TRUE)</f>
        <v>0.99536154609304595</v>
      </c>
      <c r="G61" s="28">
        <f>+B61*C61*D61</f>
        <v>0.15631359994638599</v>
      </c>
      <c r="H61" s="15">
        <f t="shared" ca="1" si="2"/>
        <v>5.1927992341187466</v>
      </c>
      <c r="I61" s="28">
        <f t="shared" ca="1" si="3"/>
        <v>5.0364856341723607</v>
      </c>
    </row>
    <row r="62" spans="1:9" x14ac:dyDescent="0.3">
      <c r="A62" s="22">
        <v>53</v>
      </c>
      <c r="B62" s="13">
        <v>2.9856840834995526</v>
      </c>
      <c r="C62" s="25">
        <v>2.8207052284732879E-2</v>
      </c>
      <c r="D62" s="14">
        <v>0.24488742906452443</v>
      </c>
      <c r="E62" s="28">
        <f t="shared" ca="1" si="1"/>
        <v>0.40049554145990607</v>
      </c>
      <c r="F62" s="13">
        <f ca="1">_xlfn.NORM.S.DIST((_xlfn.NORM.S.INV(C62)+(SQRT(E62)*_xlfn.NORM.S.INV($F$1)))/SQRT(1-E62),TRUE)</f>
        <v>0.52462430624468581</v>
      </c>
      <c r="G62" s="28">
        <f>+B62*C62*D62</f>
        <v>2.0623769601456256E-2</v>
      </c>
      <c r="H62" s="15">
        <f t="shared" ca="1" si="2"/>
        <v>0.38358247115280558</v>
      </c>
      <c r="I62" s="28">
        <f t="shared" ca="1" si="3"/>
        <v>0.36295870155134935</v>
      </c>
    </row>
    <row r="63" spans="1:9" x14ac:dyDescent="0.3">
      <c r="A63" s="22">
        <v>54</v>
      </c>
      <c r="B63" s="13">
        <v>8.2342757175777361</v>
      </c>
      <c r="C63" s="25">
        <v>3.2130693570795996E-2</v>
      </c>
      <c r="D63" s="14">
        <v>0.25464974174436694</v>
      </c>
      <c r="E63" s="28">
        <f t="shared" ca="1" si="1"/>
        <v>0.2779670795190109</v>
      </c>
      <c r="F63" s="13">
        <f ca="1">_xlfn.NORM.S.DIST((_xlfn.NORM.S.INV(C63)+(SQRT(E63)*_xlfn.NORM.S.INV($F$1)))/SQRT(1-E63),TRUE)</f>
        <v>0.39734874601199555</v>
      </c>
      <c r="G63" s="28">
        <f>+B63*C63*D63</f>
        <v>6.7373443540113209E-2</v>
      </c>
      <c r="H63" s="15">
        <f t="shared" ca="1" si="2"/>
        <v>0.83318317565065725</v>
      </c>
      <c r="I63" s="28">
        <f t="shared" ca="1" si="3"/>
        <v>0.76580973211054404</v>
      </c>
    </row>
    <row r="64" spans="1:9" x14ac:dyDescent="0.3">
      <c r="A64" s="22">
        <v>55</v>
      </c>
      <c r="B64" s="13">
        <v>1.088466378198353</v>
      </c>
      <c r="C64" s="25">
        <v>2.441100327085248E-2</v>
      </c>
      <c r="D64" s="14">
        <v>0.30861886504360347</v>
      </c>
      <c r="E64" s="28">
        <f t="shared" ca="1" si="1"/>
        <v>0.5186810759830216</v>
      </c>
      <c r="F64" s="13">
        <f ca="1">_xlfn.NORM.S.DIST((_xlfn.NORM.S.INV(C64)+(SQRT(E64)*_xlfn.NORM.S.INV($F$1)))/SQRT(1-E64),TRUE)</f>
        <v>0.64362767550361133</v>
      </c>
      <c r="G64" s="28">
        <f>+B64*C64*D64</f>
        <v>8.2001749345657505E-3</v>
      </c>
      <c r="H64" s="15">
        <f t="shared" ca="1" si="2"/>
        <v>0.2162082186175226</v>
      </c>
      <c r="I64" s="28">
        <f t="shared" ca="1" si="3"/>
        <v>0.20800804368295683</v>
      </c>
    </row>
    <row r="65" spans="1:9" x14ac:dyDescent="0.3">
      <c r="A65" s="22">
        <v>56</v>
      </c>
      <c r="B65" s="13">
        <v>8.1622363044850736</v>
      </c>
      <c r="C65" s="25">
        <v>5.3328414198889326E-2</v>
      </c>
      <c r="D65" s="14">
        <v>0.34290007437103986</v>
      </c>
      <c r="E65" s="28">
        <f t="shared" ca="1" si="1"/>
        <v>0.78279040273489819</v>
      </c>
      <c r="F65" s="13">
        <f ca="1">_xlfn.NORM.S.DIST((_xlfn.NORM.S.INV(C65)+(SQRT(E65)*_xlfn.NORM.S.INV($F$1)))/SQRT(1-E65),TRUE)</f>
        <v>0.99190544156264271</v>
      </c>
      <c r="G65" s="28">
        <f>+B65*C65*D65</f>
        <v>0.14925724208345076</v>
      </c>
      <c r="H65" s="15">
        <f t="shared" ca="1" si="2"/>
        <v>2.7761761312281981</v>
      </c>
      <c r="I65" s="28">
        <f t="shared" ca="1" si="3"/>
        <v>2.6269188891447475</v>
      </c>
    </row>
    <row r="66" spans="1:9" x14ac:dyDescent="0.3">
      <c r="A66" s="22">
        <v>57</v>
      </c>
      <c r="B66" s="13">
        <v>2.2122162163148911</v>
      </c>
      <c r="C66" s="25">
        <v>5.5072206066467781E-2</v>
      </c>
      <c r="D66" s="14">
        <v>0.33976200731732742</v>
      </c>
      <c r="E66" s="28">
        <f t="shared" ca="1" si="1"/>
        <v>0.89234347615869958</v>
      </c>
      <c r="F66" s="13">
        <f ca="1">_xlfn.NORM.S.DIST((_xlfn.NORM.S.INV(C66)+(SQRT(E66)*_xlfn.NORM.S.INV($F$1)))/SQRT(1-E66),TRUE)</f>
        <v>0.99997186653683534</v>
      </c>
      <c r="G66" s="28">
        <f>+B66*C66*D66</f>
        <v>4.1393758255859343E-2</v>
      </c>
      <c r="H66" s="15">
        <f t="shared" ca="1" si="2"/>
        <v>0.75160587640394561</v>
      </c>
      <c r="I66" s="28">
        <f t="shared" ca="1" si="3"/>
        <v>0.71021211814808627</v>
      </c>
    </row>
    <row r="67" spans="1:9" x14ac:dyDescent="0.3">
      <c r="A67" s="22">
        <v>58</v>
      </c>
      <c r="B67" s="13">
        <v>9.6913262885539115</v>
      </c>
      <c r="C67" s="25">
        <v>3.9478714859582362E-2</v>
      </c>
      <c r="D67" s="14">
        <v>0.3213960702055253</v>
      </c>
      <c r="E67" s="28">
        <f t="shared" ca="1" si="1"/>
        <v>0.17334104465984357</v>
      </c>
      <c r="F67" s="13">
        <f ca="1">_xlfn.NORM.S.DIST((_xlfn.NORM.S.INV(C67)+(SQRT(E67)*_xlfn.NORM.S.INV($F$1)))/SQRT(1-E67),TRUE)</f>
        <v>0.30253500556779067</v>
      </c>
      <c r="G67" s="28">
        <f>+B67*C67*D67</f>
        <v>0.12296649229654111</v>
      </c>
      <c r="H67" s="15">
        <f t="shared" ca="1" si="2"/>
        <v>0.94232217446551658</v>
      </c>
      <c r="I67" s="28">
        <f t="shared" ca="1" si="3"/>
        <v>0.81935568216897547</v>
      </c>
    </row>
    <row r="68" spans="1:9" x14ac:dyDescent="0.3">
      <c r="A68" s="22">
        <v>59</v>
      </c>
      <c r="B68" s="13">
        <v>8.0233677127741974</v>
      </c>
      <c r="C68" s="25">
        <v>2.9011169908627489E-2</v>
      </c>
      <c r="D68" s="14">
        <v>0.4221139839134509</v>
      </c>
      <c r="E68" s="28">
        <f t="shared" ca="1" si="1"/>
        <v>0.14819541385718893</v>
      </c>
      <c r="F68" s="13">
        <f ca="1">_xlfn.NORM.S.DIST((_xlfn.NORM.S.INV(C68)+(SQRT(E68)*_xlfn.NORM.S.INV($F$1)))/SQRT(1-E68),TRUE)</f>
        <v>0.222179335244789</v>
      </c>
      <c r="G68" s="28">
        <f>+B68*C68*D68</f>
        <v>9.8254325554826896E-2</v>
      </c>
      <c r="H68" s="15">
        <f t="shared" ca="1" si="2"/>
        <v>0.75247157579138446</v>
      </c>
      <c r="I68" s="28">
        <f t="shared" ca="1" si="3"/>
        <v>0.65421725023655752</v>
      </c>
    </row>
    <row r="69" spans="1:9" x14ac:dyDescent="0.3">
      <c r="A69" s="22">
        <v>60</v>
      </c>
      <c r="B69" s="13">
        <v>2.3189503091178958</v>
      </c>
      <c r="C69" s="25">
        <v>1.1732376427232622E-2</v>
      </c>
      <c r="D69" s="14">
        <v>0.2117527587759801</v>
      </c>
      <c r="E69" s="28">
        <f t="shared" ca="1" si="1"/>
        <v>0.75411800152855613</v>
      </c>
      <c r="F69" s="13">
        <f ca="1">_xlfn.NORM.S.DIST((_xlfn.NORM.S.INV(C69)+(SQRT(E69)*_xlfn.NORM.S.INV($F$1)))/SQRT(1-E69),TRUE)</f>
        <v>0.80025093494759003</v>
      </c>
      <c r="G69" s="28">
        <f>+B69*C69*D69</f>
        <v>5.7611145218101484E-3</v>
      </c>
      <c r="H69" s="15">
        <f t="shared" ca="1" si="2"/>
        <v>0.39295852046797775</v>
      </c>
      <c r="I69" s="28">
        <f t="shared" ca="1" si="3"/>
        <v>0.38719740594616758</v>
      </c>
    </row>
    <row r="70" spans="1:9" x14ac:dyDescent="0.3">
      <c r="A70" s="22">
        <v>61</v>
      </c>
      <c r="B70" s="13">
        <v>6.1665311912174747</v>
      </c>
      <c r="C70" s="25">
        <v>1.0611659424387423E-2</v>
      </c>
      <c r="D70" s="14">
        <v>0.68773675939844758</v>
      </c>
      <c r="E70" s="28">
        <f t="shared" ca="1" si="1"/>
        <v>0.71075044373936724</v>
      </c>
      <c r="F70" s="13">
        <f ca="1">_xlfn.NORM.S.DIST((_xlfn.NORM.S.INV(C70)+(SQRT(E70)*_xlfn.NORM.S.INV($F$1)))/SQRT(1-E70),TRUE)</f>
        <v>0.71231418278748604</v>
      </c>
      <c r="G70" s="28">
        <f>+B70*C70*D70</f>
        <v>4.5003518926613251E-2</v>
      </c>
      <c r="H70" s="15">
        <f t="shared" ca="1" si="2"/>
        <v>3.0208889604108458</v>
      </c>
      <c r="I70" s="28">
        <f t="shared" ca="1" si="3"/>
        <v>2.9758854414842326</v>
      </c>
    </row>
    <row r="71" spans="1:9" x14ac:dyDescent="0.3">
      <c r="A71" s="22">
        <v>62</v>
      </c>
      <c r="B71" s="13">
        <v>4.1569754396347722</v>
      </c>
      <c r="C71" s="25">
        <v>2.1458863144407495E-2</v>
      </c>
      <c r="D71" s="14">
        <v>0.39674587505405601</v>
      </c>
      <c r="E71" s="28">
        <f t="shared" ca="1" si="1"/>
        <v>0.26520610028622416</v>
      </c>
      <c r="F71" s="13">
        <f ca="1">_xlfn.NORM.S.DIST((_xlfn.NORM.S.INV(C71)+(SQRT(E71)*_xlfn.NORM.S.INV($F$1)))/SQRT(1-E71),TRUE)</f>
        <v>0.30669328955337061</v>
      </c>
      <c r="G71" s="28">
        <f>+B71*C71*D71</f>
        <v>3.5391305967047412E-2</v>
      </c>
      <c r="H71" s="15">
        <f t="shared" ca="1" si="2"/>
        <v>0.50581785137356605</v>
      </c>
      <c r="I71" s="28">
        <f t="shared" ca="1" si="3"/>
        <v>0.47042654540651863</v>
      </c>
    </row>
    <row r="72" spans="1:9" x14ac:dyDescent="0.3">
      <c r="A72" s="22">
        <v>63</v>
      </c>
      <c r="B72" s="13">
        <v>10.268248883815462</v>
      </c>
      <c r="C72" s="25">
        <v>2.3410762736715891E-2</v>
      </c>
      <c r="D72" s="14">
        <v>0.42137740161448733</v>
      </c>
      <c r="E72" s="28">
        <f t="shared" ca="1" si="1"/>
        <v>0.16491294944788493</v>
      </c>
      <c r="F72" s="13">
        <f ca="1">_xlfn.NORM.S.DIST((_xlfn.NORM.S.INV(C72)+(SQRT(E72)*_xlfn.NORM.S.INV($F$1)))/SQRT(1-E72),TRUE)</f>
        <v>0.2112475186194237</v>
      </c>
      <c r="G72" s="28">
        <f>+B72*C72*D72</f>
        <v>0.10129387628644455</v>
      </c>
      <c r="H72" s="15">
        <f t="shared" ca="1" si="2"/>
        <v>0.91402746068136276</v>
      </c>
      <c r="I72" s="28">
        <f t="shared" ca="1" si="3"/>
        <v>0.81273358439491816</v>
      </c>
    </row>
    <row r="73" spans="1:9" x14ac:dyDescent="0.3">
      <c r="A73" s="22">
        <v>64</v>
      </c>
      <c r="B73" s="13">
        <v>10.673199998652498</v>
      </c>
      <c r="C73" s="25">
        <v>2.333808157823301E-2</v>
      </c>
      <c r="D73" s="14">
        <v>0.29064867434225439</v>
      </c>
      <c r="E73" s="28">
        <f t="shared" ca="1" si="1"/>
        <v>0.26861461007082099</v>
      </c>
      <c r="F73" s="13">
        <f ca="1">_xlfn.NORM.S.DIST((_xlfn.NORM.S.INV(C73)+(SQRT(E73)*_xlfn.NORM.S.INV($F$1)))/SQRT(1-E73),TRUE)</f>
        <v>0.32518617655045068</v>
      </c>
      <c r="G73" s="28">
        <f>+B73*C73*D73</f>
        <v>7.2398263155330697E-2</v>
      </c>
      <c r="H73" s="15">
        <f t="shared" ca="1" si="2"/>
        <v>1.0087767627967068</v>
      </c>
      <c r="I73" s="28">
        <f t="shared" ca="1" si="3"/>
        <v>0.93637849964137609</v>
      </c>
    </row>
    <row r="74" spans="1:9" x14ac:dyDescent="0.3">
      <c r="A74" s="22">
        <v>65</v>
      </c>
      <c r="B74" s="13">
        <v>1.3826549331444318</v>
      </c>
      <c r="C74" s="25">
        <v>1.1950136557084717E-2</v>
      </c>
      <c r="D74" s="14">
        <v>0.54348701272375433</v>
      </c>
      <c r="E74" s="28">
        <f t="shared" ca="1" si="1"/>
        <v>0.13583659422361638</v>
      </c>
      <c r="F74" s="13">
        <f ca="1">_xlfn.NORM.S.DIST((_xlfn.NORM.S.INV(C74)+(SQRT(E74)*_xlfn.NORM.S.INV($F$1)))/SQRT(1-E74),TRUE)</f>
        <v>0.11418070488903165</v>
      </c>
      <c r="G74" s="28">
        <f>+B74*C74*D74</f>
        <v>8.9799898574510258E-3</v>
      </c>
      <c r="H74" s="15">
        <f t="shared" ca="1" si="2"/>
        <v>8.5801661505887333E-2</v>
      </c>
      <c r="I74" s="28">
        <f t="shared" ca="1" si="3"/>
        <v>7.6821671648436313E-2</v>
      </c>
    </row>
    <row r="75" spans="1:9" x14ac:dyDescent="0.3">
      <c r="A75" s="22">
        <v>66</v>
      </c>
      <c r="B75" s="13">
        <v>3.1536814019105055</v>
      </c>
      <c r="C75" s="25">
        <v>5.8269265206104433E-2</v>
      </c>
      <c r="D75" s="14">
        <v>0.60731939550287373</v>
      </c>
      <c r="E75" s="28">
        <f t="shared" ref="E75:E109" ca="1" si="4">+RAND()</f>
        <v>0.47143273520047901</v>
      </c>
      <c r="F75" s="13">
        <f ca="1">_xlfn.NORM.S.DIST((_xlfn.NORM.S.INV(C75)+(SQRT(E75)*_xlfn.NORM.S.INV($F$1)))/SQRT(1-E75),TRUE)</f>
        <v>0.77627955747142807</v>
      </c>
      <c r="G75" s="28">
        <f>+B75*C75*D75</f>
        <v>0.11160265065530572</v>
      </c>
      <c r="H75" s="15">
        <f t="shared" ref="H75:H109" ca="1" si="5">+B75*F75*D75</f>
        <v>1.4868019350664994</v>
      </c>
      <c r="I75" s="28">
        <f t="shared" ref="I75:I109" ca="1" si="6">+H75-G75</f>
        <v>1.3751992844111935</v>
      </c>
    </row>
    <row r="76" spans="1:9" x14ac:dyDescent="0.3">
      <c r="A76" s="22">
        <v>67</v>
      </c>
      <c r="B76" s="13">
        <v>9.264013733791856</v>
      </c>
      <c r="C76" s="25">
        <v>4.2326681377969522E-2</v>
      </c>
      <c r="D76" s="14">
        <v>0.54733973209912379</v>
      </c>
      <c r="E76" s="28">
        <f t="shared" ca="1" si="4"/>
        <v>0.77585328709146228</v>
      </c>
      <c r="F76" s="13">
        <f ca="1">_xlfn.NORM.S.DIST((_xlfn.NORM.S.INV(C76)+(SQRT(E76)*_xlfn.NORM.S.INV($F$1)))/SQRT(1-E76),TRUE)</f>
        <v>0.98245147366584706</v>
      </c>
      <c r="G76" s="28">
        <f>+B76*C76*D76</f>
        <v>0.21462009584010422</v>
      </c>
      <c r="H76" s="15">
        <f t="shared" ca="1" si="5"/>
        <v>4.9815818904754092</v>
      </c>
      <c r="I76" s="28">
        <f t="shared" ca="1" si="6"/>
        <v>4.7669617946353053</v>
      </c>
    </row>
    <row r="77" spans="1:9" x14ac:dyDescent="0.3">
      <c r="A77" s="22">
        <v>68</v>
      </c>
      <c r="B77" s="13">
        <v>10.158135652355226</v>
      </c>
      <c r="C77" s="25">
        <v>2.0607417482393933E-2</v>
      </c>
      <c r="D77" s="14">
        <v>0.31161773195781539</v>
      </c>
      <c r="E77" s="28">
        <f t="shared" ca="1" si="4"/>
        <v>0.70826497573409519</v>
      </c>
      <c r="F77" s="13">
        <f ca="1">_xlfn.NORM.S.DIST((_xlfn.NORM.S.INV(C77)+(SQRT(E77)*_xlfn.NORM.S.INV($F$1)))/SQRT(1-E77),TRUE)</f>
        <v>0.84979559804733773</v>
      </c>
      <c r="G77" s="28">
        <f>+B77*C77*D77</f>
        <v>6.52318566820414E-2</v>
      </c>
      <c r="H77" s="15">
        <f t="shared" ca="1" si="5"/>
        <v>2.6899898887482498</v>
      </c>
      <c r="I77" s="28">
        <f t="shared" ca="1" si="6"/>
        <v>2.6247580320662083</v>
      </c>
    </row>
    <row r="78" spans="1:9" x14ac:dyDescent="0.3">
      <c r="A78" s="22">
        <v>69</v>
      </c>
      <c r="B78" s="13">
        <v>1.3299276916067184</v>
      </c>
      <c r="C78" s="25">
        <v>5.5943242813198658E-2</v>
      </c>
      <c r="D78" s="14">
        <v>0.65960207770955959</v>
      </c>
      <c r="E78" s="28">
        <f t="shared" ca="1" si="4"/>
        <v>0.61220804203857959</v>
      </c>
      <c r="F78" s="13">
        <f ca="1">_xlfn.NORM.S.DIST((_xlfn.NORM.S.INV(C78)+(SQRT(E78)*_xlfn.NORM.S.INV($F$1)))/SQRT(1-E78),TRUE)</f>
        <v>0.90821756293830602</v>
      </c>
      <c r="G78" s="28">
        <f>+B78*C78*D78</f>
        <v>4.9074703127316856E-2</v>
      </c>
      <c r="H78" s="15">
        <f t="shared" ca="1" si="5"/>
        <v>0.79670939750559278</v>
      </c>
      <c r="I78" s="28">
        <f t="shared" ca="1" si="6"/>
        <v>0.7476346943782759</v>
      </c>
    </row>
    <row r="79" spans="1:9" x14ac:dyDescent="0.3">
      <c r="A79" s="22">
        <v>70</v>
      </c>
      <c r="B79" s="13">
        <v>1.6612967459346408</v>
      </c>
      <c r="C79" s="25">
        <v>1.4203439875536579E-2</v>
      </c>
      <c r="D79" s="14">
        <v>0.44582121139090425</v>
      </c>
      <c r="E79" s="28">
        <f t="shared" ca="1" si="4"/>
        <v>4.8258697419655938E-2</v>
      </c>
      <c r="F79" s="13">
        <f ca="1">_xlfn.NORM.S.DIST((_xlfn.NORM.S.INV(C79)+(SQRT(E79)*_xlfn.NORM.S.INV($F$1)))/SQRT(1-E79),TRUE)</f>
        <v>6.049378609213845E-2</v>
      </c>
      <c r="G79" s="28">
        <f>+B79*C79*D79</f>
        <v>1.0519654568068068E-2</v>
      </c>
      <c r="H79" s="15">
        <f t="shared" ca="1" si="5"/>
        <v>4.4804198052047994E-2</v>
      </c>
      <c r="I79" s="28">
        <f t="shared" ca="1" si="6"/>
        <v>3.4284543483979926E-2</v>
      </c>
    </row>
    <row r="80" spans="1:9" x14ac:dyDescent="0.3">
      <c r="A80" s="22">
        <v>71</v>
      </c>
      <c r="B80" s="13">
        <v>2.224656752148042</v>
      </c>
      <c r="C80" s="25">
        <v>4.3920475820826387E-2</v>
      </c>
      <c r="D80" s="14">
        <v>0.46300614450734534</v>
      </c>
      <c r="E80" s="28">
        <f t="shared" ca="1" si="4"/>
        <v>0.40913425232258405</v>
      </c>
      <c r="F80" s="13">
        <f ca="1">_xlfn.NORM.S.DIST((_xlfn.NORM.S.INV(C80)+(SQRT(E80)*_xlfn.NORM.S.INV($F$1)))/SQRT(1-E80),TRUE)</f>
        <v>0.63716661437329303</v>
      </c>
      <c r="G80" s="28">
        <f>+B80*C80*D80</f>
        <v>4.523939653918075E-2</v>
      </c>
      <c r="H80" s="15">
        <f t="shared" ca="1" si="5"/>
        <v>0.65630056574870477</v>
      </c>
      <c r="I80" s="28">
        <f t="shared" ca="1" si="6"/>
        <v>0.61106116920952402</v>
      </c>
    </row>
    <row r="81" spans="1:9" x14ac:dyDescent="0.3">
      <c r="A81" s="22">
        <v>72</v>
      </c>
      <c r="B81" s="13">
        <v>4.742387246625027</v>
      </c>
      <c r="C81" s="25">
        <v>3.5737095870318626E-2</v>
      </c>
      <c r="D81" s="14">
        <v>0.36469003508983466</v>
      </c>
      <c r="E81" s="28">
        <f t="shared" ca="1" si="4"/>
        <v>0.53996916069802536</v>
      </c>
      <c r="F81" s="13">
        <f ca="1">_xlfn.NORM.S.DIST((_xlfn.NORM.S.INV(C81)+(SQRT(E81)*_xlfn.NORM.S.INV($F$1)))/SQRT(1-E81),TRUE)</f>
        <v>0.75505752556793615</v>
      </c>
      <c r="G81" s="28">
        <f>+B81*C81*D81</f>
        <v>6.180735631689982E-2</v>
      </c>
      <c r="H81" s="15">
        <f t="shared" ca="1" si="5"/>
        <v>1.3058730259414904</v>
      </c>
      <c r="I81" s="28">
        <f t="shared" ca="1" si="6"/>
        <v>1.2440656696245904</v>
      </c>
    </row>
    <row r="82" spans="1:9" x14ac:dyDescent="0.3">
      <c r="A82" s="22">
        <v>73</v>
      </c>
      <c r="B82" s="13">
        <v>5.307747345723457</v>
      </c>
      <c r="C82" s="25">
        <v>3.9974862484740449E-2</v>
      </c>
      <c r="D82" s="14">
        <v>0.44641921040529908</v>
      </c>
      <c r="E82" s="28">
        <f t="shared" ca="1" si="4"/>
        <v>0.58961523092172463</v>
      </c>
      <c r="F82" s="13">
        <f ca="1">_xlfn.NORM.S.DIST((_xlfn.NORM.S.INV(C82)+(SQRT(E82)*_xlfn.NORM.S.INV($F$1)))/SQRT(1-E82),TRUE)</f>
        <v>0.83417356731002301</v>
      </c>
      <c r="G82" s="28">
        <f>+B82*C82*D82</f>
        <v>9.4719652315160455E-2</v>
      </c>
      <c r="H82" s="15">
        <f t="shared" ca="1" si="5"/>
        <v>1.9765579005121996</v>
      </c>
      <c r="I82" s="28">
        <f t="shared" ca="1" si="6"/>
        <v>1.881838248197039</v>
      </c>
    </row>
    <row r="83" spans="1:9" x14ac:dyDescent="0.3">
      <c r="A83" s="22">
        <v>74</v>
      </c>
      <c r="B83" s="13">
        <v>6.3199029324760971</v>
      </c>
      <c r="C83" s="25">
        <v>1.2279061281115403E-2</v>
      </c>
      <c r="D83" s="14">
        <v>0.4899126991343784</v>
      </c>
      <c r="E83" s="28">
        <f t="shared" ca="1" si="4"/>
        <v>0.48867683726247024</v>
      </c>
      <c r="F83" s="13">
        <f ca="1">_xlfn.NORM.S.DIST((_xlfn.NORM.S.INV(C83)+(SQRT(E83)*_xlfn.NORM.S.INV($F$1)))/SQRT(1-E83),TRUE)</f>
        <v>0.45100372892156754</v>
      </c>
      <c r="G83" s="28">
        <f>+B83*C83*D83</f>
        <v>3.8018438182025049E-2</v>
      </c>
      <c r="H83" s="15">
        <f t="shared" ca="1" si="5"/>
        <v>1.396398062955986</v>
      </c>
      <c r="I83" s="28">
        <f t="shared" ca="1" si="6"/>
        <v>1.358379624773961</v>
      </c>
    </row>
    <row r="84" spans="1:9" x14ac:dyDescent="0.3">
      <c r="A84" s="22">
        <v>75</v>
      </c>
      <c r="B84" s="13">
        <v>1.0413124437954882</v>
      </c>
      <c r="C84" s="25">
        <v>4.3680320905037082E-2</v>
      </c>
      <c r="D84" s="14">
        <v>0.6128320693544691</v>
      </c>
      <c r="E84" s="28">
        <f t="shared" ca="1" si="4"/>
        <v>0.35005678696397224</v>
      </c>
      <c r="F84" s="13">
        <f ca="1">_xlfn.NORM.S.DIST((_xlfn.NORM.S.INV(C84)+(SQRT(E84)*_xlfn.NORM.S.INV($F$1)))/SQRT(1-E84),TRUE)</f>
        <v>0.55860857374138539</v>
      </c>
      <c r="G84" s="28">
        <f>+B84*C84*D84</f>
        <v>2.7874581924444919E-2</v>
      </c>
      <c r="H84" s="15">
        <f t="shared" ca="1" si="5"/>
        <v>0.3564758712808811</v>
      </c>
      <c r="I84" s="28">
        <f t="shared" ca="1" si="6"/>
        <v>0.32860128935643618</v>
      </c>
    </row>
    <row r="85" spans="1:9" x14ac:dyDescent="0.3">
      <c r="A85" s="22">
        <v>76</v>
      </c>
      <c r="B85" s="13">
        <v>10.390369034934245</v>
      </c>
      <c r="C85" s="25">
        <v>3.9221079323609319E-2</v>
      </c>
      <c r="D85" s="14">
        <v>0.55158045878683415</v>
      </c>
      <c r="E85" s="28">
        <f t="shared" ca="1" si="4"/>
        <v>0.94536200257330216</v>
      </c>
      <c r="F85" s="13">
        <f ca="1">_xlfn.NORM.S.DIST((_xlfn.NORM.S.INV(C85)+(SQRT(E85)*_xlfn.NORM.S.INV($F$1)))/SQRT(1-E85),TRUE)</f>
        <v>0.99999994966634143</v>
      </c>
      <c r="G85" s="28">
        <f>+B85*C85*D85</f>
        <v>0.22478088938312565</v>
      </c>
      <c r="H85" s="15">
        <f t="shared" ca="1" si="5"/>
        <v>5.731124230785082</v>
      </c>
      <c r="I85" s="28">
        <f t="shared" ca="1" si="6"/>
        <v>5.5063433414019567</v>
      </c>
    </row>
    <row r="86" spans="1:9" x14ac:dyDescent="0.3">
      <c r="A86" s="22">
        <v>77</v>
      </c>
      <c r="B86" s="13">
        <v>7.6282329803220286</v>
      </c>
      <c r="C86" s="25">
        <v>5.3480651284804309E-2</v>
      </c>
      <c r="D86" s="14">
        <v>0.22903941923322435</v>
      </c>
      <c r="E86" s="28">
        <f t="shared" ca="1" si="4"/>
        <v>0.30672276899210527</v>
      </c>
      <c r="F86" s="13">
        <f ca="1">_xlfn.NORM.S.DIST((_xlfn.NORM.S.INV(C86)+(SQRT(E86)*_xlfn.NORM.S.INV($F$1)))/SQRT(1-E86),TRUE)</f>
        <v>0.54753523830876571</v>
      </c>
      <c r="G86" s="28">
        <f>+B86*C86*D86</f>
        <v>9.3439578341662902E-2</v>
      </c>
      <c r="H86" s="15">
        <f t="shared" ca="1" si="5"/>
        <v>0.95663498042159623</v>
      </c>
      <c r="I86" s="28">
        <f t="shared" ca="1" si="6"/>
        <v>0.86319540207993328</v>
      </c>
    </row>
    <row r="87" spans="1:9" x14ac:dyDescent="0.3">
      <c r="A87" s="22">
        <v>78</v>
      </c>
      <c r="B87" s="13">
        <v>10.932476153502993</v>
      </c>
      <c r="C87" s="25">
        <v>1.0870188362631901E-2</v>
      </c>
      <c r="D87" s="14">
        <v>0.2246684297905045</v>
      </c>
      <c r="E87" s="28">
        <f t="shared" ca="1" si="4"/>
        <v>0.39841424367165379</v>
      </c>
      <c r="F87" s="13">
        <f ca="1">_xlfn.NORM.S.DIST((_xlfn.NORM.S.INV(C87)+(SQRT(E87)*_xlfn.NORM.S.INV($F$1)))/SQRT(1-E87),TRUE)</f>
        <v>0.3285484323721668</v>
      </c>
      <c r="G87" s="28">
        <f>+B87*C87*D87</f>
        <v>2.6699163722732566E-2</v>
      </c>
      <c r="H87" s="15">
        <f t="shared" ca="1" si="5"/>
        <v>0.80697482822898692</v>
      </c>
      <c r="I87" s="28">
        <f t="shared" ca="1" si="6"/>
        <v>0.7802756645062543</v>
      </c>
    </row>
    <row r="88" spans="1:9" x14ac:dyDescent="0.3">
      <c r="A88" s="22">
        <v>79</v>
      </c>
      <c r="B88" s="13">
        <v>6.4904765563408242</v>
      </c>
      <c r="C88" s="25">
        <v>2.4968299520919099E-2</v>
      </c>
      <c r="D88" s="14">
        <v>0.69029541274852779</v>
      </c>
      <c r="E88" s="28">
        <f t="shared" ca="1" si="4"/>
        <v>0.15602537385515403</v>
      </c>
      <c r="F88" s="13">
        <f ca="1">_xlfn.NORM.S.DIST((_xlfn.NORM.S.INV(C88)+(SQRT(E88)*_xlfn.NORM.S.INV($F$1)))/SQRT(1-E88),TRUE)</f>
        <v>0.21030768389658996</v>
      </c>
      <c r="G88" s="28">
        <f>+B88*C88*D88</f>
        <v>0.11186662571406944</v>
      </c>
      <c r="H88" s="15">
        <f t="shared" ca="1" si="5"/>
        <v>0.94225123098758135</v>
      </c>
      <c r="I88" s="28">
        <f t="shared" ca="1" si="6"/>
        <v>0.83038460527351188</v>
      </c>
    </row>
    <row r="89" spans="1:9" x14ac:dyDescent="0.3">
      <c r="A89" s="22">
        <v>80</v>
      </c>
      <c r="B89" s="13">
        <v>4.2203536777115485</v>
      </c>
      <c r="C89" s="25">
        <v>3.5662444226601267E-2</v>
      </c>
      <c r="D89" s="14">
        <v>0.33517539806233332</v>
      </c>
      <c r="E89" s="28">
        <f t="shared" ca="1" si="4"/>
        <v>0.89523108696881626</v>
      </c>
      <c r="F89" s="13">
        <f ca="1">_xlfn.NORM.S.DIST((_xlfn.NORM.S.INV(C89)+(SQRT(E89)*_xlfn.NORM.S.INV($F$1)))/SQRT(1-E89),TRUE)</f>
        <v>0.9997315724234741</v>
      </c>
      <c r="G89" s="28">
        <f>+B89*C89*D89</f>
        <v>5.0446621596007934E-2</v>
      </c>
      <c r="H89" s="15">
        <f t="shared" ca="1" si="5"/>
        <v>1.414179017320693</v>
      </c>
      <c r="I89" s="28">
        <f t="shared" ca="1" si="6"/>
        <v>1.363732395724685</v>
      </c>
    </row>
    <row r="90" spans="1:9" x14ac:dyDescent="0.3">
      <c r="A90" s="22">
        <v>81</v>
      </c>
      <c r="B90" s="13">
        <v>7.5032704384548854</v>
      </c>
      <c r="C90" s="25">
        <v>2.6967058719719314E-2</v>
      </c>
      <c r="D90" s="14">
        <v>0.65168796537799534</v>
      </c>
      <c r="E90" s="28">
        <f t="shared" ca="1" si="4"/>
        <v>0.24775077490868547</v>
      </c>
      <c r="F90" s="13">
        <f ca="1">_xlfn.NORM.S.DIST((_xlfn.NORM.S.INV(C90)+(SQRT(E90)*_xlfn.NORM.S.INV($F$1)))/SQRT(1-E90),TRUE)</f>
        <v>0.32680421696362616</v>
      </c>
      <c r="G90" s="28">
        <f>+B90*C90*D90</f>
        <v>0.13186328225702215</v>
      </c>
      <c r="H90" s="15">
        <f t="shared" ca="1" si="5"/>
        <v>1.598004333811466</v>
      </c>
      <c r="I90" s="28">
        <f t="shared" ca="1" si="6"/>
        <v>1.4661410515544437</v>
      </c>
    </row>
    <row r="91" spans="1:9" x14ac:dyDescent="0.3">
      <c r="A91" s="22">
        <v>82</v>
      </c>
      <c r="B91" s="13">
        <v>1.6071629117449462</v>
      </c>
      <c r="C91" s="25">
        <v>1.8815576231867477E-2</v>
      </c>
      <c r="D91" s="14">
        <v>0.65605080246849312</v>
      </c>
      <c r="E91" s="28">
        <f t="shared" ca="1" si="4"/>
        <v>0.59949446766572456</v>
      </c>
      <c r="F91" s="13">
        <f ca="1">_xlfn.NORM.S.DIST((_xlfn.NORM.S.INV(C91)+(SQRT(E91)*_xlfn.NORM.S.INV($F$1)))/SQRT(1-E91),TRUE)</f>
        <v>0.69001325191824914</v>
      </c>
      <c r="G91" s="28">
        <f>+B91*C91*D91</f>
        <v>1.9838777012844099E-2</v>
      </c>
      <c r="H91" s="15">
        <f t="shared" ca="1" si="5"/>
        <v>0.72753652994845885</v>
      </c>
      <c r="I91" s="28">
        <f t="shared" ca="1" si="6"/>
        <v>0.70769775293561477</v>
      </c>
    </row>
    <row r="92" spans="1:9" x14ac:dyDescent="0.3">
      <c r="A92" s="22">
        <v>83</v>
      </c>
      <c r="B92" s="13">
        <v>6.7506477987089628</v>
      </c>
      <c r="C92" s="25">
        <v>3.2925012514916363E-2</v>
      </c>
      <c r="D92" s="14">
        <v>0.34616762559222491</v>
      </c>
      <c r="E92" s="28">
        <f t="shared" ca="1" si="4"/>
        <v>0.15070149665273203</v>
      </c>
      <c r="F92" s="13">
        <f ca="1">_xlfn.NORM.S.DIST((_xlfn.NORM.S.INV(C92)+(SQRT(E92)*_xlfn.NORM.S.INV($F$1)))/SQRT(1-E92),TRUE)</f>
        <v>0.24376158513649571</v>
      </c>
      <c r="G92" s="28">
        <f>+B92*C92*D92</f>
        <v>7.6941003816296483E-2</v>
      </c>
      <c r="H92" s="15">
        <f t="shared" ca="1" si="5"/>
        <v>0.56963565446654585</v>
      </c>
      <c r="I92" s="28">
        <f t="shared" ca="1" si="6"/>
        <v>0.49269465065024937</v>
      </c>
    </row>
    <row r="93" spans="1:9" x14ac:dyDescent="0.3">
      <c r="A93" s="22">
        <v>84</v>
      </c>
      <c r="B93" s="13">
        <v>2.4725346173984621</v>
      </c>
      <c r="C93" s="25">
        <v>2.0879036035778949E-2</v>
      </c>
      <c r="D93" s="14">
        <v>0.66212402721431252</v>
      </c>
      <c r="E93" s="28">
        <f t="shared" ca="1" si="4"/>
        <v>0.32215649493143239</v>
      </c>
      <c r="F93" s="13">
        <f ca="1">_xlfn.NORM.S.DIST((_xlfn.NORM.S.INV(C93)+(SQRT(E93)*_xlfn.NORM.S.INV($F$1)))/SQRT(1-E93),TRUE)</f>
        <v>0.36600611543982392</v>
      </c>
      <c r="G93" s="28">
        <f>+B93*C93*D93</f>
        <v>3.4181583065357332E-2</v>
      </c>
      <c r="H93" s="15">
        <f t="shared" ca="1" si="5"/>
        <v>0.59919760739415573</v>
      </c>
      <c r="I93" s="28">
        <f t="shared" ca="1" si="6"/>
        <v>0.56501602432879838</v>
      </c>
    </row>
    <row r="94" spans="1:9" x14ac:dyDescent="0.3">
      <c r="A94" s="22">
        <v>85</v>
      </c>
      <c r="B94" s="13">
        <v>4.3598091117805975</v>
      </c>
      <c r="C94" s="25">
        <v>5.0851557829304547E-2</v>
      </c>
      <c r="D94" s="14">
        <v>0.34106067816254171</v>
      </c>
      <c r="E94" s="28">
        <f t="shared" ca="1" si="4"/>
        <v>0.62076867354436804</v>
      </c>
      <c r="F94" s="13">
        <f ca="1">_xlfn.NORM.S.DIST((_xlfn.NORM.S.INV(C94)+(SQRT(E94)*_xlfn.NORM.S.INV($F$1)))/SQRT(1-E94),TRUE)</f>
        <v>0.90251427440715892</v>
      </c>
      <c r="G94" s="28">
        <f>+B94*C94*D94</f>
        <v>7.5614204579640118E-2</v>
      </c>
      <c r="H94" s="15">
        <f t="shared" ca="1" si="5"/>
        <v>1.3420021311862664</v>
      </c>
      <c r="I94" s="28">
        <f t="shared" ca="1" si="6"/>
        <v>1.2663879266066262</v>
      </c>
    </row>
    <row r="95" spans="1:9" x14ac:dyDescent="0.3">
      <c r="A95" s="22">
        <v>86</v>
      </c>
      <c r="B95" s="13">
        <v>3.5286804008345101</v>
      </c>
      <c r="C95" s="25">
        <v>5.7702934543936872E-2</v>
      </c>
      <c r="D95" s="14">
        <v>0.42962505681095808</v>
      </c>
      <c r="E95" s="28">
        <f t="shared" ca="1" si="4"/>
        <v>0.3581154794716247</v>
      </c>
      <c r="F95" s="13">
        <f ca="1">_xlfn.NORM.S.DIST((_xlfn.NORM.S.INV(C95)+(SQRT(E95)*_xlfn.NORM.S.INV($F$1)))/SQRT(1-E95),TRUE)</f>
        <v>0.63425867599189079</v>
      </c>
      <c r="G95" s="28">
        <f>+B95*C95*D95</f>
        <v>8.7478197966457422E-2</v>
      </c>
      <c r="H95" s="15">
        <f t="shared" ca="1" si="5"/>
        <v>0.96154218947243741</v>
      </c>
      <c r="I95" s="28">
        <f t="shared" ca="1" si="6"/>
        <v>0.87406399150598002</v>
      </c>
    </row>
    <row r="96" spans="1:9" x14ac:dyDescent="0.3">
      <c r="A96" s="22">
        <v>87</v>
      </c>
      <c r="B96" s="13">
        <v>2.6810414577976776</v>
      </c>
      <c r="C96" s="25">
        <v>3.0008868947872594E-2</v>
      </c>
      <c r="D96" s="14">
        <v>0.42656939327163235</v>
      </c>
      <c r="E96" s="28">
        <f t="shared" ca="1" si="4"/>
        <v>0.36340129943111033</v>
      </c>
      <c r="F96" s="13">
        <f ca="1">_xlfn.NORM.S.DIST((_xlfn.NORM.S.INV(C96)+(SQRT(E96)*_xlfn.NORM.S.INV($F$1)))/SQRT(1-E96),TRUE)</f>
        <v>0.49110784805588481</v>
      </c>
      <c r="G96" s="28">
        <f>+B96*C96*D96</f>
        <v>3.4319649813921958E-2</v>
      </c>
      <c r="H96" s="15">
        <f t="shared" ca="1" si="5"/>
        <v>0.56165560239622514</v>
      </c>
      <c r="I96" s="28">
        <f t="shared" ca="1" si="6"/>
        <v>0.52733595258230315</v>
      </c>
    </row>
    <row r="97" spans="1:9" x14ac:dyDescent="0.3">
      <c r="A97" s="22">
        <v>88</v>
      </c>
      <c r="B97" s="13">
        <v>6.1801900119593309</v>
      </c>
      <c r="C97" s="25">
        <v>5.7983949502188034E-2</v>
      </c>
      <c r="D97" s="14">
        <v>0.24529615989531661</v>
      </c>
      <c r="E97" s="28">
        <f t="shared" ca="1" si="4"/>
        <v>0.51136453973356111</v>
      </c>
      <c r="F97" s="13">
        <f ca="1">_xlfn.NORM.S.DIST((_xlfn.NORM.S.INV(C97)+(SQRT(E97)*_xlfn.NORM.S.INV($F$1)))/SQRT(1-E97),TRUE)</f>
        <v>0.81925942023303144</v>
      </c>
      <c r="G97" s="28">
        <f>+B97*C97*D97</f>
        <v>8.7902326703153844E-2</v>
      </c>
      <c r="H97" s="15">
        <f t="shared" ca="1" si="5"/>
        <v>1.2419783376301894</v>
      </c>
      <c r="I97" s="28">
        <f t="shared" ca="1" si="6"/>
        <v>1.1540760109270356</v>
      </c>
    </row>
    <row r="98" spans="1:9" x14ac:dyDescent="0.3">
      <c r="A98" s="22">
        <v>89</v>
      </c>
      <c r="B98" s="13">
        <v>4.0840100182008765</v>
      </c>
      <c r="C98" s="25">
        <v>5.2498773572615759E-2</v>
      </c>
      <c r="D98" s="14">
        <v>0.47841175237598021</v>
      </c>
      <c r="E98" s="28">
        <f t="shared" ca="1" si="4"/>
        <v>0.37057444919884719</v>
      </c>
      <c r="F98" s="13">
        <f ca="1">_xlfn.NORM.S.DIST((_xlfn.NORM.S.INV(C98)+(SQRT(E98)*_xlfn.NORM.S.INV($F$1)))/SQRT(1-E98),TRUE)</f>
        <v>0.62847586014717338</v>
      </c>
      <c r="G98" s="28">
        <f>+B98*C98*D98</f>
        <v>0.10257411920934306</v>
      </c>
      <c r="H98" s="15">
        <f t="shared" ca="1" si="5"/>
        <v>1.2279402624475173</v>
      </c>
      <c r="I98" s="28">
        <f t="shared" ca="1" si="6"/>
        <v>1.1253661432381743</v>
      </c>
    </row>
    <row r="99" spans="1:9" x14ac:dyDescent="0.3">
      <c r="A99" s="22">
        <v>90</v>
      </c>
      <c r="B99" s="13">
        <v>8.836820414761176</v>
      </c>
      <c r="C99" s="25">
        <v>1.2635764473106336E-2</v>
      </c>
      <c r="D99" s="14">
        <v>0.5404282094171039</v>
      </c>
      <c r="E99" s="28">
        <f t="shared" ca="1" si="4"/>
        <v>0.14238061606568286</v>
      </c>
      <c r="F99" s="13">
        <f ca="1">_xlfn.NORM.S.DIST((_xlfn.NORM.S.INV(C99)+(SQRT(E99)*_xlfn.NORM.S.INV($F$1)))/SQRT(1-E99),TRUE)</f>
        <v>0.12370088114606588</v>
      </c>
      <c r="G99" s="28">
        <f>+B99*C99*D99</f>
        <v>6.0344203839683849E-2</v>
      </c>
      <c r="H99" s="15">
        <f t="shared" ca="1" si="5"/>
        <v>0.59075422012765832</v>
      </c>
      <c r="I99" s="28">
        <f t="shared" ca="1" si="6"/>
        <v>0.53041001628797446</v>
      </c>
    </row>
    <row r="100" spans="1:9" x14ac:dyDescent="0.3">
      <c r="A100" s="22">
        <v>91</v>
      </c>
      <c r="B100" s="13">
        <v>5.1747923692476121</v>
      </c>
      <c r="C100" s="25">
        <v>1.3085501551217717E-2</v>
      </c>
      <c r="D100" s="14">
        <v>0.36883666172921803</v>
      </c>
      <c r="E100" s="28">
        <f t="shared" ca="1" si="4"/>
        <v>0.43485678906135372</v>
      </c>
      <c r="F100" s="13">
        <f ca="1">_xlfn.NORM.S.DIST((_xlfn.NORM.S.INV(C100)+(SQRT(E100)*_xlfn.NORM.S.INV($F$1)))/SQRT(1-E100),TRUE)</f>
        <v>0.40236793080740008</v>
      </c>
      <c r="G100" s="28">
        <f>+B100*C100*D100</f>
        <v>2.4975683658426725E-2</v>
      </c>
      <c r="H100" s="15">
        <f t="shared" ca="1" si="5"/>
        <v>0.7679808156230874</v>
      </c>
      <c r="I100" s="28">
        <f t="shared" ca="1" si="6"/>
        <v>0.74300513196466067</v>
      </c>
    </row>
    <row r="101" spans="1:9" x14ac:dyDescent="0.3">
      <c r="A101" s="22">
        <v>92</v>
      </c>
      <c r="B101" s="13">
        <v>7.1639513188156458</v>
      </c>
      <c r="C101" s="25">
        <v>4.9845548787286774E-2</v>
      </c>
      <c r="D101" s="14">
        <v>0.69111517152179447</v>
      </c>
      <c r="E101" s="28">
        <f t="shared" ca="1" si="4"/>
        <v>0.71487807354794419</v>
      </c>
      <c r="F101" s="13">
        <f ca="1">_xlfn.NORM.S.DIST((_xlfn.NORM.S.INV(C101)+(SQRT(E101)*_xlfn.NORM.S.INV($F$1)))/SQRT(1-E101),TRUE)</f>
        <v>0.96484781245584916</v>
      </c>
      <c r="G101" s="28">
        <f>+B101*C101*D101</f>
        <v>0.2467910664391704</v>
      </c>
      <c r="H101" s="15">
        <f t="shared" ca="1" si="5"/>
        <v>4.7770729058200612</v>
      </c>
      <c r="I101" s="28">
        <f t="shared" ca="1" si="6"/>
        <v>4.5302818393808906</v>
      </c>
    </row>
    <row r="102" spans="1:9" x14ac:dyDescent="0.3">
      <c r="A102" s="22">
        <v>93</v>
      </c>
      <c r="B102" s="13">
        <v>3.6691814282358681</v>
      </c>
      <c r="C102" s="25">
        <v>5.0411256926503542E-2</v>
      </c>
      <c r="D102" s="14">
        <v>0.60933843535586474</v>
      </c>
      <c r="E102" s="28">
        <f t="shared" ca="1" si="4"/>
        <v>0.66753889313379389</v>
      </c>
      <c r="F102" s="13">
        <f ca="1">_xlfn.NORM.S.DIST((_xlfn.NORM.S.INV(C102)+(SQRT(E102)*_xlfn.NORM.S.INV($F$1)))/SQRT(1-E102),TRUE)</f>
        <v>0.93736545409578853</v>
      </c>
      <c r="G102" s="28">
        <f>+B102*C102*D102</f>
        <v>0.11270814076949408</v>
      </c>
      <c r="H102" s="15">
        <f t="shared" ca="1" si="5"/>
        <v>2.0957366269743698</v>
      </c>
      <c r="I102" s="28">
        <f t="shared" ca="1" si="6"/>
        <v>1.9830284862048757</v>
      </c>
    </row>
    <row r="103" spans="1:9" x14ac:dyDescent="0.3">
      <c r="A103" s="22">
        <v>94</v>
      </c>
      <c r="B103" s="13">
        <v>4.1683012957365015</v>
      </c>
      <c r="C103" s="25">
        <v>5.8145477038991644E-2</v>
      </c>
      <c r="D103" s="14">
        <v>0.47619805291810435</v>
      </c>
      <c r="E103" s="28">
        <f t="shared" ca="1" si="4"/>
        <v>0.71434943610693635</v>
      </c>
      <c r="F103" s="13">
        <f ca="1">_xlfn.NORM.S.DIST((_xlfn.NORM.S.INV(C103)+(SQRT(E103)*_xlfn.NORM.S.INV($F$1)))/SQRT(1-E103),TRUE)</f>
        <v>0.97431175439270346</v>
      </c>
      <c r="G103" s="28">
        <f>+B103*C103*D103</f>
        <v>0.11541510649000473</v>
      </c>
      <c r="H103" s="15">
        <f t="shared" ca="1" si="5"/>
        <v>1.9339474128364174</v>
      </c>
      <c r="I103" s="28">
        <f t="shared" ca="1" si="6"/>
        <v>1.8185323063464127</v>
      </c>
    </row>
    <row r="104" spans="1:9" x14ac:dyDescent="0.3">
      <c r="A104" s="22">
        <v>95</v>
      </c>
      <c r="B104" s="13">
        <v>2.1463075591611704</v>
      </c>
      <c r="C104" s="25">
        <v>3.2572506188292945E-2</v>
      </c>
      <c r="D104" s="14">
        <v>0.44802418381057518</v>
      </c>
      <c r="E104" s="28">
        <f t="shared" ca="1" si="4"/>
        <v>0.46657603124000924</v>
      </c>
      <c r="F104" s="13">
        <f ca="1">_xlfn.NORM.S.DIST((_xlfn.NORM.S.INV(C104)+(SQRT(E104)*_xlfn.NORM.S.INV($F$1)))/SQRT(1-E104),TRUE)</f>
        <v>0.64243555648632222</v>
      </c>
      <c r="G104" s="28">
        <f>+B104*C104*D104</f>
        <v>3.1321646786335852E-2</v>
      </c>
      <c r="H104" s="15">
        <f t="shared" ca="1" si="5"/>
        <v>0.61776454863273322</v>
      </c>
      <c r="I104" s="28">
        <f t="shared" ca="1" si="6"/>
        <v>0.58644290184639736</v>
      </c>
    </row>
    <row r="105" spans="1:9" x14ac:dyDescent="0.3">
      <c r="A105" s="22">
        <v>96</v>
      </c>
      <c r="B105" s="13">
        <v>9.5160575448490228</v>
      </c>
      <c r="C105" s="25">
        <v>5.2432685396596533E-2</v>
      </c>
      <c r="D105" s="14">
        <v>0.27749968198730535</v>
      </c>
      <c r="E105" s="28">
        <f t="shared" ca="1" si="4"/>
        <v>2.3309844993978035E-2</v>
      </c>
      <c r="F105" s="13">
        <f ca="1">_xlfn.NORM.S.DIST((_xlfn.NORM.S.INV(C105)+(SQRT(E105)*_xlfn.NORM.S.INV($F$1)))/SQRT(1-E105),TRUE)</f>
        <v>0.12230355808997982</v>
      </c>
      <c r="G105" s="28">
        <f>+B105*C105*D105</f>
        <v>0.13845914660831771</v>
      </c>
      <c r="H105" s="15">
        <f t="shared" ca="1" si="5"/>
        <v>0.322967365722577</v>
      </c>
      <c r="I105" s="28">
        <f t="shared" ca="1" si="6"/>
        <v>0.1845082191142593</v>
      </c>
    </row>
    <row r="106" spans="1:9" x14ac:dyDescent="0.3">
      <c r="A106" s="22">
        <v>97</v>
      </c>
      <c r="B106" s="13">
        <v>10.335128386225792</v>
      </c>
      <c r="C106" s="25">
        <v>4.4779252151959749E-2</v>
      </c>
      <c r="D106" s="14">
        <v>0.42073014950101695</v>
      </c>
      <c r="E106" s="28">
        <f t="shared" ca="1" si="4"/>
        <v>0.87822002066859017</v>
      </c>
      <c r="F106" s="13">
        <f ca="1">_xlfn.NORM.S.DIST((_xlfn.NORM.S.INV(C106)+(SQRT(E106)*_xlfn.NORM.S.INV($F$1)))/SQRT(1-E106),TRUE)</f>
        <v>0.99970221198708376</v>
      </c>
      <c r="G106" s="28">
        <f>+B106*C106*D106</f>
        <v>0.19471362710505694</v>
      </c>
      <c r="H106" s="15">
        <f t="shared" ca="1" si="5"/>
        <v>4.3470052393993486</v>
      </c>
      <c r="I106" s="28">
        <f t="shared" ca="1" si="6"/>
        <v>4.1522916122942917</v>
      </c>
    </row>
    <row r="107" spans="1:9" x14ac:dyDescent="0.3">
      <c r="A107" s="22">
        <v>98</v>
      </c>
      <c r="B107" s="13">
        <v>3.2827689510927476</v>
      </c>
      <c r="C107" s="25">
        <v>5.1115027311982954E-2</v>
      </c>
      <c r="D107" s="14">
        <v>0.67895755809370006</v>
      </c>
      <c r="E107" s="28">
        <f t="shared" ca="1" si="4"/>
        <v>0.63040525995007668</v>
      </c>
      <c r="F107" s="13">
        <f ca="1">_xlfn.NORM.S.DIST((_xlfn.NORM.S.INV(C107)+(SQRT(E107)*_xlfn.NORM.S.INV($F$1)))/SQRT(1-E107),TRUE)</f>
        <v>0.91115500400781801</v>
      </c>
      <c r="G107" s="28">
        <f>+B107*C107*D107</f>
        <v>0.11392828019735939</v>
      </c>
      <c r="H107" s="15">
        <f t="shared" ca="1" si="5"/>
        <v>2.0308376627922367</v>
      </c>
      <c r="I107" s="28">
        <f t="shared" ca="1" si="6"/>
        <v>1.9169093825948773</v>
      </c>
    </row>
    <row r="108" spans="1:9" x14ac:dyDescent="0.3">
      <c r="A108" s="22">
        <v>99</v>
      </c>
      <c r="B108" s="13">
        <v>10.83290271438835</v>
      </c>
      <c r="C108" s="25">
        <v>2.96340928516063E-2</v>
      </c>
      <c r="D108" s="14">
        <v>0.62216876669906396</v>
      </c>
      <c r="E108" s="28">
        <f t="shared" ca="1" si="4"/>
        <v>0.90590132376299648</v>
      </c>
      <c r="F108" s="13">
        <f ca="1">_xlfn.NORM.S.DIST((_xlfn.NORM.S.INV(C108)+(SQRT(E108)*_xlfn.NORM.S.INV($F$1)))/SQRT(1-E108),TRUE)</f>
        <v>0.99970848142795876</v>
      </c>
      <c r="G108" s="28">
        <f>+B108*C108*D108</f>
        <v>0.19973063635531763</v>
      </c>
      <c r="H108" s="15">
        <f t="shared" ca="1" si="5"/>
        <v>6.7379289173885173</v>
      </c>
      <c r="I108" s="28">
        <f t="shared" ca="1" si="6"/>
        <v>6.5381982810331998</v>
      </c>
    </row>
    <row r="109" spans="1:9" x14ac:dyDescent="0.3">
      <c r="A109" s="23">
        <v>100</v>
      </c>
      <c r="B109" s="30">
        <v>4.1876166894992117</v>
      </c>
      <c r="C109" s="26">
        <v>4.5849843442694431E-2</v>
      </c>
      <c r="D109" s="31">
        <v>0.62765712114478645</v>
      </c>
      <c r="E109" s="29">
        <f t="shared" ca="1" si="4"/>
        <v>0.86338116281565758</v>
      </c>
      <c r="F109" s="30">
        <f ca="1">_xlfn.NORM.S.DIST((_xlfn.NORM.S.INV(C109)+(SQRT(E109)*_xlfn.NORM.S.INV($F$1)))/SQRT(1-E109),TRUE)</f>
        <v>0.99932634037200507</v>
      </c>
      <c r="G109" s="29">
        <f>+B109*C109*D109</f>
        <v>0.1205111524376678</v>
      </c>
      <c r="H109" s="32">
        <f t="shared" ca="1" si="5"/>
        <v>2.626616797286716</v>
      </c>
      <c r="I109" s="29">
        <f t="shared" ca="1" si="6"/>
        <v>2.5061056448490482</v>
      </c>
    </row>
  </sheetData>
  <mergeCells count="5">
    <mergeCell ref="A2:B2"/>
    <mergeCell ref="A3:B3"/>
    <mergeCell ref="A4:C4"/>
    <mergeCell ref="A5:B5"/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 Portfolio Detail</vt:lpstr>
      <vt:lpstr>2. Working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Aiswarya Lakshmi V</dc:creator>
  <cp:lastModifiedBy>Aiswarya Lakshmi V</cp:lastModifiedBy>
  <dcterms:created xsi:type="dcterms:W3CDTF">2026-10-21T12:59:05Z</dcterms:created>
  <dcterms:modified xsi:type="dcterms:W3CDTF">2026-10-21T13:52:05Z</dcterms:modified>
</cp:coreProperties>
</file>