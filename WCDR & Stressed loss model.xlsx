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fabfc857bf06b/Desktop/FRM/Projects/"/>
    </mc:Choice>
  </mc:AlternateContent>
  <xr:revisionPtr revIDLastSave="360" documentId="8_{CBC6A415-36E3-4734-8A55-50CCB97483C8}" xr6:coauthVersionLast="47" xr6:coauthVersionMax="47" xr10:uidLastSave="{22313BD3-A0FB-4FCB-B505-9B9B9C9C41DD}"/>
  <bookViews>
    <workbookView xWindow="-108" yWindow="-108" windowWidth="23256" windowHeight="12456" activeTab="1" xr2:uid="{6F20B457-271C-46A1-BF4B-16C803349498}"/>
  </bookViews>
  <sheets>
    <sheet name="1. Portfolio Detail" sheetId="1" r:id="rId1"/>
    <sheet name="2. Working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H10" i="2" s="1"/>
  <c r="E10" i="2"/>
  <c r="E82" i="2"/>
  <c r="F82" i="2" s="1"/>
  <c r="H82" i="2" s="1"/>
  <c r="E90" i="2"/>
  <c r="F90" i="2" s="1"/>
  <c r="H90" i="2" s="1"/>
  <c r="E91" i="2"/>
  <c r="F91" i="2" s="1"/>
  <c r="H91" i="2" s="1"/>
  <c r="E92" i="2"/>
  <c r="F92" i="2" s="1"/>
  <c r="H92" i="2" s="1"/>
  <c r="E93" i="2"/>
  <c r="F93" i="2" s="1"/>
  <c r="H93" i="2" s="1"/>
  <c r="E94" i="2"/>
  <c r="F94" i="2" s="1"/>
  <c r="H94" i="2" s="1"/>
  <c r="E95" i="2"/>
  <c r="F95" i="2" s="1"/>
  <c r="H95" i="2" s="1"/>
  <c r="E97" i="2"/>
  <c r="F97" i="2" s="1"/>
  <c r="H97" i="2" s="1"/>
  <c r="E98" i="2"/>
  <c r="F98" i="2" s="1"/>
  <c r="H98" i="2" s="1"/>
  <c r="E99" i="2"/>
  <c r="F99" i="2" s="1"/>
  <c r="H99" i="2" s="1"/>
  <c r="E100" i="2"/>
  <c r="F100" i="2" s="1"/>
  <c r="H100" i="2" s="1"/>
  <c r="E101" i="2"/>
  <c r="F101" i="2" s="1"/>
  <c r="H101" i="2" s="1"/>
  <c r="E102" i="2"/>
  <c r="F102" i="2" s="1"/>
  <c r="H102" i="2" s="1"/>
  <c r="E103" i="2"/>
  <c r="F103" i="2" s="1"/>
  <c r="H103" i="2" s="1"/>
  <c r="E104" i="2"/>
  <c r="F104" i="2" s="1"/>
  <c r="H104" i="2" s="1"/>
  <c r="E105" i="2"/>
  <c r="F105" i="2" s="1"/>
  <c r="H105" i="2" s="1"/>
  <c r="E106" i="2"/>
  <c r="F106" i="2" s="1"/>
  <c r="H106" i="2" s="1"/>
  <c r="E107" i="2"/>
  <c r="F107" i="2" s="1"/>
  <c r="H107" i="2" s="1"/>
  <c r="E108" i="2"/>
  <c r="F108" i="2" s="1"/>
  <c r="H108" i="2" s="1"/>
  <c r="E109" i="2"/>
  <c r="F109" i="2" s="1"/>
  <c r="H109" i="2" s="1"/>
  <c r="E96" i="2"/>
  <c r="F96" i="2" s="1"/>
  <c r="H96" i="2" s="1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10" i="2"/>
  <c r="B8" i="2"/>
  <c r="E11" i="2" l="1"/>
  <c r="F11" i="2" s="1"/>
  <c r="H11" i="2" s="1"/>
  <c r="G11" i="2"/>
  <c r="E12" i="2"/>
  <c r="G12" i="2"/>
  <c r="F12" i="2"/>
  <c r="H12" i="2" s="1"/>
  <c r="I12" i="2" s="1"/>
  <c r="E13" i="2"/>
  <c r="G13" i="2"/>
  <c r="F13" i="2"/>
  <c r="H13" i="2" s="1"/>
  <c r="I13" i="2" s="1"/>
  <c r="E14" i="2"/>
  <c r="G14" i="2"/>
  <c r="F14" i="2"/>
  <c r="H14" i="2" s="1"/>
  <c r="I14" i="2" s="1"/>
  <c r="E15" i="2"/>
  <c r="F15" i="2"/>
  <c r="H15" i="2" s="1"/>
  <c r="G15" i="2"/>
  <c r="E16" i="2"/>
  <c r="F16" i="2"/>
  <c r="H16" i="2" s="1"/>
  <c r="G16" i="2"/>
  <c r="E17" i="2"/>
  <c r="F17" i="2"/>
  <c r="H17" i="2" s="1"/>
  <c r="G17" i="2"/>
  <c r="E18" i="2"/>
  <c r="F18" i="2"/>
  <c r="H18" i="2" s="1"/>
  <c r="G18" i="2"/>
  <c r="E19" i="2"/>
  <c r="G19" i="2"/>
  <c r="F19" i="2"/>
  <c r="H19" i="2" s="1"/>
  <c r="I19" i="2" s="1"/>
  <c r="E20" i="2"/>
  <c r="F20" i="2"/>
  <c r="H20" i="2" s="1"/>
  <c r="G20" i="2"/>
  <c r="E21" i="2"/>
  <c r="F21" i="2" s="1"/>
  <c r="H21" i="2" s="1"/>
  <c r="G21" i="2"/>
  <c r="E22" i="2"/>
  <c r="F22" i="2"/>
  <c r="H22" i="2" s="1"/>
  <c r="G22" i="2"/>
  <c r="G23" i="2"/>
  <c r="E23" i="2"/>
  <c r="F23" i="2" s="1"/>
  <c r="H23" i="2" s="1"/>
  <c r="I23" i="2" s="1"/>
  <c r="E24" i="2"/>
  <c r="F24" i="2" s="1"/>
  <c r="H24" i="2" s="1"/>
  <c r="G24" i="2"/>
  <c r="E25" i="2"/>
  <c r="F25" i="2" s="1"/>
  <c r="H25" i="2" s="1"/>
  <c r="G25" i="2"/>
  <c r="E26" i="2"/>
  <c r="F26" i="2" s="1"/>
  <c r="H26" i="2" s="1"/>
  <c r="G26" i="2"/>
  <c r="E27" i="2"/>
  <c r="F27" i="2" s="1"/>
  <c r="H27" i="2" s="1"/>
  <c r="G27" i="2"/>
  <c r="G28" i="2"/>
  <c r="E28" i="2"/>
  <c r="F28" i="2"/>
  <c r="H28" i="2" s="1"/>
  <c r="I28" i="2" s="1"/>
  <c r="G29" i="2"/>
  <c r="E29" i="2"/>
  <c r="F29" i="2" s="1"/>
  <c r="H29" i="2" s="1"/>
  <c r="I29" i="2" s="1"/>
  <c r="E30" i="2"/>
  <c r="F30" i="2"/>
  <c r="H30" i="2" s="1"/>
  <c r="G30" i="2"/>
  <c r="E31" i="2"/>
  <c r="F31" i="2" s="1"/>
  <c r="H31" i="2" s="1"/>
  <c r="I31" i="2" s="1"/>
  <c r="G31" i="2"/>
  <c r="E32" i="2"/>
  <c r="F32" i="2" s="1"/>
  <c r="H32" i="2" s="1"/>
  <c r="G32" i="2"/>
  <c r="E33" i="2"/>
  <c r="F33" i="2" s="1"/>
  <c r="H33" i="2" s="1"/>
  <c r="G33" i="2"/>
  <c r="E34" i="2"/>
  <c r="G34" i="2"/>
  <c r="F34" i="2"/>
  <c r="H34" i="2" s="1"/>
  <c r="E35" i="2"/>
  <c r="G35" i="2"/>
  <c r="F35" i="2"/>
  <c r="H35" i="2" s="1"/>
  <c r="I35" i="2" s="1"/>
  <c r="E36" i="2"/>
  <c r="F36" i="2" s="1"/>
  <c r="H36" i="2" s="1"/>
  <c r="G36" i="2"/>
  <c r="E37" i="2"/>
  <c r="G37" i="2"/>
  <c r="F37" i="2"/>
  <c r="H37" i="2" s="1"/>
  <c r="E38" i="2"/>
  <c r="F38" i="2" s="1"/>
  <c r="H38" i="2" s="1"/>
  <c r="G38" i="2"/>
  <c r="E39" i="2"/>
  <c r="G39" i="2"/>
  <c r="F39" i="2"/>
  <c r="H39" i="2" s="1"/>
  <c r="I39" i="2" s="1"/>
  <c r="G40" i="2"/>
  <c r="E40" i="2"/>
  <c r="F40" i="2" s="1"/>
  <c r="H40" i="2" s="1"/>
  <c r="I40" i="2" s="1"/>
  <c r="E41" i="2"/>
  <c r="F41" i="2" s="1"/>
  <c r="H41" i="2" s="1"/>
  <c r="G41" i="2"/>
  <c r="E42" i="2"/>
  <c r="F42" i="2"/>
  <c r="H42" i="2" s="1"/>
  <c r="G42" i="2"/>
  <c r="E43" i="2"/>
  <c r="F43" i="2"/>
  <c r="H43" i="2" s="1"/>
  <c r="G43" i="2"/>
  <c r="E44" i="2"/>
  <c r="G44" i="2"/>
  <c r="F44" i="2"/>
  <c r="H44" i="2" s="1"/>
  <c r="E45" i="2"/>
  <c r="F45" i="2" s="1"/>
  <c r="H45" i="2" s="1"/>
  <c r="G45" i="2"/>
  <c r="E46" i="2"/>
  <c r="F46" i="2" s="1"/>
  <c r="H46" i="2" s="1"/>
  <c r="G46" i="2"/>
  <c r="E47" i="2"/>
  <c r="F47" i="2" s="1"/>
  <c r="H47" i="2" s="1"/>
  <c r="G47" i="2"/>
  <c r="E48" i="2"/>
  <c r="F48" i="2" s="1"/>
  <c r="H48" i="2" s="1"/>
  <c r="G48" i="2"/>
  <c r="E49" i="2"/>
  <c r="F49" i="2" s="1"/>
  <c r="H49" i="2" s="1"/>
  <c r="G49" i="2"/>
  <c r="E50" i="2"/>
  <c r="F50" i="2" s="1"/>
  <c r="H50" i="2" s="1"/>
  <c r="G50" i="2"/>
  <c r="E51" i="2"/>
  <c r="F51" i="2" s="1"/>
  <c r="H51" i="2" s="1"/>
  <c r="G51" i="2"/>
  <c r="E52" i="2"/>
  <c r="F52" i="2" s="1"/>
  <c r="H52" i="2" s="1"/>
  <c r="G52" i="2"/>
  <c r="E53" i="2"/>
  <c r="F53" i="2" s="1"/>
  <c r="H53" i="2" s="1"/>
  <c r="G53" i="2"/>
  <c r="E54" i="2"/>
  <c r="F54" i="2" s="1"/>
  <c r="H54" i="2" s="1"/>
  <c r="G54" i="2"/>
  <c r="E55" i="2"/>
  <c r="F55" i="2" s="1"/>
  <c r="H55" i="2" s="1"/>
  <c r="G55" i="2"/>
  <c r="E56" i="2"/>
  <c r="F56" i="2" s="1"/>
  <c r="H56" i="2" s="1"/>
  <c r="G56" i="2"/>
  <c r="E57" i="2"/>
  <c r="F57" i="2" s="1"/>
  <c r="H57" i="2" s="1"/>
  <c r="G57" i="2"/>
  <c r="E58" i="2"/>
  <c r="F58" i="2" s="1"/>
  <c r="H58" i="2" s="1"/>
  <c r="G58" i="2"/>
  <c r="E59" i="2"/>
  <c r="F59" i="2" s="1"/>
  <c r="H59" i="2" s="1"/>
  <c r="G59" i="2"/>
  <c r="E60" i="2"/>
  <c r="F60" i="2" s="1"/>
  <c r="H60" i="2" s="1"/>
  <c r="G60" i="2"/>
  <c r="E61" i="2"/>
  <c r="F61" i="2" s="1"/>
  <c r="H61" i="2" s="1"/>
  <c r="G61" i="2"/>
  <c r="E62" i="2"/>
  <c r="F62" i="2" s="1"/>
  <c r="H62" i="2" s="1"/>
  <c r="G62" i="2"/>
  <c r="E63" i="2"/>
  <c r="F63" i="2" s="1"/>
  <c r="H63" i="2" s="1"/>
  <c r="G63" i="2"/>
  <c r="E64" i="2"/>
  <c r="F64" i="2" s="1"/>
  <c r="H64" i="2" s="1"/>
  <c r="G64" i="2"/>
  <c r="E65" i="2"/>
  <c r="F65" i="2" s="1"/>
  <c r="H65" i="2" s="1"/>
  <c r="G65" i="2"/>
  <c r="E66" i="2"/>
  <c r="F66" i="2" s="1"/>
  <c r="H66" i="2" s="1"/>
  <c r="G66" i="2"/>
  <c r="E67" i="2"/>
  <c r="F67" i="2" s="1"/>
  <c r="H67" i="2" s="1"/>
  <c r="G67" i="2"/>
  <c r="E68" i="2"/>
  <c r="F68" i="2" s="1"/>
  <c r="H68" i="2" s="1"/>
  <c r="G68" i="2"/>
  <c r="E69" i="2"/>
  <c r="F69" i="2" s="1"/>
  <c r="H69" i="2" s="1"/>
  <c r="G69" i="2"/>
  <c r="E70" i="2"/>
  <c r="F70" i="2" s="1"/>
  <c r="H70" i="2" s="1"/>
  <c r="G70" i="2"/>
  <c r="E71" i="2"/>
  <c r="F71" i="2" s="1"/>
  <c r="H71" i="2" s="1"/>
  <c r="G71" i="2"/>
  <c r="E72" i="2"/>
  <c r="F72" i="2" s="1"/>
  <c r="H72" i="2" s="1"/>
  <c r="G72" i="2"/>
  <c r="E73" i="2"/>
  <c r="F73" i="2" s="1"/>
  <c r="H73" i="2" s="1"/>
  <c r="G73" i="2"/>
  <c r="E74" i="2"/>
  <c r="F74" i="2" s="1"/>
  <c r="H74" i="2" s="1"/>
  <c r="G74" i="2"/>
  <c r="E75" i="2"/>
  <c r="F75" i="2" s="1"/>
  <c r="H75" i="2" s="1"/>
  <c r="G75" i="2"/>
  <c r="E76" i="2"/>
  <c r="F76" i="2" s="1"/>
  <c r="H76" i="2" s="1"/>
  <c r="G76" i="2"/>
  <c r="E77" i="2"/>
  <c r="F77" i="2" s="1"/>
  <c r="H77" i="2" s="1"/>
  <c r="G77" i="2"/>
  <c r="E78" i="2"/>
  <c r="F78" i="2" s="1"/>
  <c r="H78" i="2" s="1"/>
  <c r="G78" i="2"/>
  <c r="E79" i="2"/>
  <c r="F79" i="2" s="1"/>
  <c r="H79" i="2" s="1"/>
  <c r="G79" i="2"/>
  <c r="E80" i="2"/>
  <c r="F80" i="2" s="1"/>
  <c r="H80" i="2" s="1"/>
  <c r="G80" i="2"/>
  <c r="I82" i="2"/>
  <c r="E81" i="2"/>
  <c r="F81" i="2"/>
  <c r="H81" i="2" s="1"/>
  <c r="I81" i="2" s="1"/>
  <c r="E83" i="2"/>
  <c r="F83" i="2" s="1"/>
  <c r="H83" i="2" s="1"/>
  <c r="I83" i="2" s="1"/>
  <c r="E84" i="2"/>
  <c r="F84" i="2"/>
  <c r="H84" i="2" s="1"/>
  <c r="I84" i="2" s="1"/>
  <c r="E85" i="2"/>
  <c r="F85" i="2" s="1"/>
  <c r="H85" i="2" s="1"/>
  <c r="I85" i="2" s="1"/>
  <c r="E86" i="2"/>
  <c r="F86" i="2" s="1"/>
  <c r="H86" i="2" s="1"/>
  <c r="I86" i="2" s="1"/>
  <c r="E87" i="2"/>
  <c r="F87" i="2" s="1"/>
  <c r="H87" i="2" s="1"/>
  <c r="I87" i="2" s="1"/>
  <c r="E88" i="2"/>
  <c r="F88" i="2"/>
  <c r="H88" i="2" s="1"/>
  <c r="I88" i="2" s="1"/>
  <c r="E89" i="2"/>
  <c r="F89" i="2" s="1"/>
  <c r="H89" i="2" s="1"/>
  <c r="I89" i="2" s="1"/>
  <c r="I92" i="2"/>
  <c r="I93" i="2"/>
  <c r="I90" i="2"/>
  <c r="I91" i="2"/>
  <c r="I94" i="2"/>
  <c r="I37" i="2"/>
  <c r="I34" i="2"/>
  <c r="I108" i="2"/>
  <c r="I106" i="2"/>
  <c r="I105" i="2"/>
  <c r="I104" i="2"/>
  <c r="I103" i="2"/>
  <c r="I102" i="2"/>
  <c r="I101" i="2"/>
  <c r="I100" i="2"/>
  <c r="I99" i="2"/>
  <c r="I98" i="2"/>
  <c r="I97" i="2"/>
  <c r="I96" i="2"/>
  <c r="I95" i="2"/>
  <c r="I10" i="2"/>
  <c r="I109" i="2"/>
  <c r="I107" i="2"/>
  <c r="I58" i="2"/>
  <c r="I57" i="2"/>
  <c r="I56" i="2"/>
  <c r="I44" i="2"/>
  <c r="I41" i="2" l="1"/>
  <c r="I47" i="2"/>
  <c r="I49" i="2"/>
  <c r="I50" i="2"/>
  <c r="I51" i="2"/>
  <c r="I78" i="2"/>
  <c r="I32" i="2"/>
  <c r="I48" i="2"/>
  <c r="I42" i="2"/>
  <c r="I46" i="2"/>
  <c r="I52" i="2"/>
  <c r="I43" i="2"/>
  <c r="I53" i="2"/>
  <c r="I54" i="2"/>
  <c r="I55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3" i="2"/>
  <c r="I38" i="2"/>
  <c r="I30" i="2"/>
  <c r="I33" i="2"/>
  <c r="I21" i="2"/>
  <c r="I74" i="2"/>
  <c r="I72" i="2"/>
  <c r="I75" i="2"/>
  <c r="I76" i="2"/>
  <c r="I45" i="2"/>
  <c r="I77" i="2"/>
  <c r="I79" i="2"/>
  <c r="I15" i="2"/>
  <c r="I16" i="2"/>
  <c r="I17" i="2"/>
  <c r="I18" i="2"/>
  <c r="I20" i="2"/>
  <c r="I22" i="2"/>
  <c r="I24" i="2"/>
  <c r="I25" i="2"/>
  <c r="I26" i="2"/>
  <c r="I27" i="2"/>
  <c r="I36" i="2"/>
  <c r="I11" i="2"/>
  <c r="G8" i="2"/>
  <c r="C2" i="2" s="1"/>
  <c r="I80" i="2"/>
  <c r="H8" i="2"/>
  <c r="C3" i="2" s="1"/>
  <c r="C5" i="2" l="1"/>
  <c r="I8" i="2"/>
</calcChain>
</file>

<file path=xl/sharedStrings.xml><?xml version="1.0" encoding="utf-8"?>
<sst xmlns="http://schemas.openxmlformats.org/spreadsheetml/2006/main" count="23" uniqueCount="23">
  <si>
    <t>EAD</t>
  </si>
  <si>
    <t>PD</t>
  </si>
  <si>
    <t>LGD</t>
  </si>
  <si>
    <t>Formulas</t>
  </si>
  <si>
    <t>Expected Loss (EL) = EAD x PD x LGD</t>
  </si>
  <si>
    <t>Total</t>
  </si>
  <si>
    <t>Sl No:</t>
  </si>
  <si>
    <t xml:space="preserve">EAD ($mn) </t>
  </si>
  <si>
    <t xml:space="preserve">PD </t>
  </si>
  <si>
    <t xml:space="preserve">LGD </t>
  </si>
  <si>
    <t>EL</t>
  </si>
  <si>
    <t>UL</t>
  </si>
  <si>
    <t>Correlation</t>
  </si>
  <si>
    <t>WCDR</t>
  </si>
  <si>
    <t>Stressed Loss (SL) = EAD x WCDR x LGD</t>
  </si>
  <si>
    <t>SL</t>
  </si>
  <si>
    <t>Portfolio</t>
  </si>
  <si>
    <t>Expected Loss</t>
  </si>
  <si>
    <t>Stressed Loss</t>
  </si>
  <si>
    <t>Capital Required</t>
  </si>
  <si>
    <t>Unexpected Loss (UL) = Stressed Loss (SL) - Expected Loss (EL)</t>
  </si>
  <si>
    <t>Correlation = 0.12 + 0.24*e^(-50*PD)</t>
  </si>
  <si>
    <t xml:space="preserve">Confidence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</si>
</sst>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_ * #,##0.0000_ ;_ * \-#,##0.0000_ ;_ * &quot;-&quot;??_ ;_ @_ "/>
    <numFmt numFmtId="166" formatCode="_ * #,##0.00000000000000_ ;_ * \-#,##0.000000000000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0" xfId="0" applyFont="1"/>
    <xf numFmtId="0" fontId="1" fillId="0" borderId="2" xfId="0" applyFont="1" applyBorder="1"/>
    <xf numFmtId="43" fontId="1" fillId="0" borderId="0" xfId="1" applyFont="1"/>
    <xf numFmtId="0" fontId="1" fillId="0" borderId="0" xfId="0" applyFont="1"/>
    <xf numFmtId="43" fontId="0" fillId="0" borderId="0" xfId="1" applyFont="1"/>
    <xf numFmtId="10" fontId="0" fillId="0" borderId="0" xfId="2" applyNumberFormat="1" applyFont="1"/>
    <xf numFmtId="43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1" xfId="0" applyBorder="1"/>
    <xf numFmtId="43" fontId="0" fillId="0" borderId="3" xfId="1" applyFont="1" applyBorder="1"/>
    <xf numFmtId="43" fontId="0" fillId="0" borderId="4" xfId="1" applyFont="1" applyBorder="1"/>
    <xf numFmtId="43" fontId="0" fillId="0" borderId="1" xfId="1" applyFont="1" applyBorder="1"/>
    <xf numFmtId="43" fontId="0" fillId="0" borderId="3" xfId="0" applyNumberFormat="1" applyBorder="1"/>
    <xf numFmtId="43" fontId="0" fillId="0" borderId="4" xfId="0" applyNumberFormat="1" applyBorder="1"/>
    <xf numFmtId="43" fontId="0" fillId="0" borderId="1" xfId="0" applyNumberFormat="1" applyBorder="1"/>
    <xf numFmtId="43" fontId="0" fillId="0" borderId="5" xfId="1" applyFont="1" applyBorder="1"/>
    <xf numFmtId="10" fontId="0" fillId="0" borderId="5" xfId="2" applyNumberFormat="1" applyFont="1" applyBorder="1"/>
    <xf numFmtId="43" fontId="0" fillId="0" borderId="5" xfId="0" applyNumberFormat="1" applyBorder="1"/>
    <xf numFmtId="43" fontId="1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0" fontId="1" fillId="0" borderId="3" xfId="0" applyFon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1" xfId="0" applyNumberFormat="1" applyBorder="1"/>
    <xf numFmtId="166" fontId="0" fillId="0" borderId="0" xfId="0" applyNumberFormat="1"/>
    <xf numFmtId="43" fontId="2" fillId="0" borderId="0" xfId="1" applyFont="1"/>
    <xf numFmtId="43" fontId="1" fillId="0" borderId="2" xfId="1" applyFont="1" applyBorder="1"/>
    <xf numFmtId="43" fontId="1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164" fontId="5" fillId="0" borderId="2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7924-75C7-4444-B6BA-297EC69EE1F4}">
  <dimension ref="A1:C101"/>
  <sheetViews>
    <sheetView showGridLines="0" workbookViewId="0"/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2.1113429466439317</v>
      </c>
      <c r="B2" s="4">
        <v>5.6981572052238846E-2</v>
      </c>
      <c r="C2" s="5">
        <v>0.35169592564001417</v>
      </c>
    </row>
    <row r="3" spans="1:3" x14ac:dyDescent="0.3">
      <c r="A3" s="4">
        <v>5.2990654697138799</v>
      </c>
      <c r="B3" s="4">
        <v>4.8475992244990246E-2</v>
      </c>
      <c r="C3" s="6">
        <v>0.33903870304024408</v>
      </c>
    </row>
    <row r="4" spans="1:3" x14ac:dyDescent="0.3">
      <c r="A4" s="4">
        <v>7.6585824444947148</v>
      </c>
      <c r="B4" s="4">
        <v>2.0339054746107373E-2</v>
      </c>
      <c r="C4" s="6">
        <v>0.69064927587385094</v>
      </c>
    </row>
    <row r="5" spans="1:3" x14ac:dyDescent="0.3">
      <c r="A5" s="4">
        <v>10.038626011511203</v>
      </c>
      <c r="B5" s="4">
        <v>3.9190503311987583E-2</v>
      </c>
      <c r="C5" s="6">
        <v>0.24844378273133538</v>
      </c>
    </row>
    <row r="6" spans="1:3" x14ac:dyDescent="0.3">
      <c r="A6" s="4">
        <v>3.3824982370826788</v>
      </c>
      <c r="B6" s="4">
        <v>4.9807073686785178E-2</v>
      </c>
      <c r="C6" s="6">
        <v>0.47692779861809298</v>
      </c>
    </row>
    <row r="7" spans="1:3" x14ac:dyDescent="0.3">
      <c r="A7" s="4">
        <v>3.4972013890719724</v>
      </c>
      <c r="B7" s="4">
        <v>1.1442720759738789E-2</v>
      </c>
      <c r="C7" s="6">
        <v>0.36116161253290635</v>
      </c>
    </row>
    <row r="8" spans="1:3" x14ac:dyDescent="0.3">
      <c r="A8" s="4">
        <v>5.846290427679639</v>
      </c>
      <c r="B8" s="4">
        <v>1.5967169097475607E-2</v>
      </c>
      <c r="C8" s="6">
        <v>0.26492403810112031</v>
      </c>
    </row>
    <row r="9" spans="1:3" x14ac:dyDescent="0.3">
      <c r="A9" s="4">
        <v>7.9710898417598175</v>
      </c>
      <c r="B9" s="4">
        <v>4.3499080806023334E-2</v>
      </c>
      <c r="C9" s="6">
        <v>0.24926484699453844</v>
      </c>
    </row>
    <row r="10" spans="1:3" x14ac:dyDescent="0.3">
      <c r="A10" s="4">
        <v>8.1065641175803922</v>
      </c>
      <c r="B10" s="4">
        <v>1.0114371015928644E-2</v>
      </c>
      <c r="C10" s="6">
        <v>0.21409737444550792</v>
      </c>
    </row>
    <row r="11" spans="1:3" x14ac:dyDescent="0.3">
      <c r="A11" s="4">
        <v>6.7961997466100836</v>
      </c>
      <c r="B11" s="4">
        <v>3.9033389150312611E-2</v>
      </c>
      <c r="C11" s="6">
        <v>0.31568127025083792</v>
      </c>
    </row>
    <row r="12" spans="1:3" x14ac:dyDescent="0.3">
      <c r="A12" s="4">
        <v>8.3969892927697209</v>
      </c>
      <c r="B12" s="4">
        <v>2.767369423126026E-2</v>
      </c>
      <c r="C12" s="6">
        <v>0.44498065115823748</v>
      </c>
    </row>
    <row r="13" spans="1:3" x14ac:dyDescent="0.3">
      <c r="A13" s="4">
        <v>8.5308127305734267</v>
      </c>
      <c r="B13" s="4">
        <v>4.9376226219418631E-2</v>
      </c>
      <c r="C13" s="6">
        <v>0.32100408780730172</v>
      </c>
    </row>
    <row r="14" spans="1:3" x14ac:dyDescent="0.3">
      <c r="A14" s="4">
        <v>9.4238857390804043</v>
      </c>
      <c r="B14" s="4">
        <v>1.1947323049418842E-2</v>
      </c>
      <c r="C14" s="6">
        <v>0.61231089109667203</v>
      </c>
    </row>
    <row r="15" spans="1:3" x14ac:dyDescent="0.3">
      <c r="A15" s="4">
        <v>5.8069208500142322</v>
      </c>
      <c r="B15" s="4">
        <v>3.7499439591030713E-2</v>
      </c>
      <c r="C15" s="6">
        <v>0.66422676411838821</v>
      </c>
    </row>
    <row r="16" spans="1:3" x14ac:dyDescent="0.3">
      <c r="A16" s="4">
        <v>1.6485775448739683</v>
      </c>
      <c r="B16" s="4">
        <v>1.1703109789367713E-2</v>
      </c>
      <c r="C16" s="6">
        <v>0.23878214999183223</v>
      </c>
    </row>
    <row r="17" spans="1:3" x14ac:dyDescent="0.3">
      <c r="A17" s="4">
        <v>4.1375055114533623</v>
      </c>
      <c r="B17" s="4">
        <v>2.1646145833825646E-2</v>
      </c>
      <c r="C17" s="6">
        <v>0.6081541029929991</v>
      </c>
    </row>
    <row r="18" spans="1:3" x14ac:dyDescent="0.3">
      <c r="A18" s="4">
        <v>5.5516267326831725</v>
      </c>
      <c r="B18" s="4">
        <v>5.1647988402246367E-2</v>
      </c>
      <c r="C18" s="6">
        <v>0.32507606539887124</v>
      </c>
    </row>
    <row r="19" spans="1:3" x14ac:dyDescent="0.3">
      <c r="A19" s="4">
        <v>10.810350799618719</v>
      </c>
      <c r="B19" s="4">
        <v>2.2563764262680433E-2</v>
      </c>
      <c r="C19" s="6">
        <v>0.57995192638740534</v>
      </c>
    </row>
    <row r="20" spans="1:3" x14ac:dyDescent="0.3">
      <c r="A20" s="4">
        <v>2.4392990203854126</v>
      </c>
      <c r="B20" s="4">
        <v>5.1540412703311021E-2</v>
      </c>
      <c r="C20" s="6">
        <v>0.56663508816453678</v>
      </c>
    </row>
    <row r="21" spans="1:3" x14ac:dyDescent="0.3">
      <c r="A21" s="4">
        <v>2.0337630665658049</v>
      </c>
      <c r="B21" s="4">
        <v>4.33881166579283E-2</v>
      </c>
      <c r="C21" s="6">
        <v>0.41513870386821605</v>
      </c>
    </row>
    <row r="22" spans="1:3" x14ac:dyDescent="0.3">
      <c r="A22" s="4">
        <v>7.6040831374540989</v>
      </c>
      <c r="B22" s="4">
        <v>3.1561189455238316E-2</v>
      </c>
      <c r="C22" s="6">
        <v>0.30486747389021596</v>
      </c>
    </row>
    <row r="23" spans="1:3" x14ac:dyDescent="0.3">
      <c r="A23" s="4">
        <v>1.2042242395827631</v>
      </c>
      <c r="B23" s="4">
        <v>3.4485471405317374E-2</v>
      </c>
      <c r="C23" s="6">
        <v>0.403886053990132</v>
      </c>
    </row>
    <row r="24" spans="1:3" x14ac:dyDescent="0.3">
      <c r="A24" s="4">
        <v>1.9040274624121991</v>
      </c>
      <c r="B24" s="4">
        <v>5.1173143042301278E-2</v>
      </c>
      <c r="C24" s="6">
        <v>0.45547307616928723</v>
      </c>
    </row>
    <row r="25" spans="1:3" x14ac:dyDescent="0.3">
      <c r="A25" s="4">
        <v>4.7082329484135581</v>
      </c>
      <c r="B25" s="4">
        <v>5.0923398407887212E-2</v>
      </c>
      <c r="C25" s="6">
        <v>0.23046413256599207</v>
      </c>
    </row>
    <row r="26" spans="1:3" x14ac:dyDescent="0.3">
      <c r="A26" s="4">
        <v>7.6602214236586637</v>
      </c>
      <c r="B26" s="4">
        <v>1.0333077966292938E-2</v>
      </c>
      <c r="C26" s="6">
        <v>0.49094368618115669</v>
      </c>
    </row>
    <row r="27" spans="1:3" x14ac:dyDescent="0.3">
      <c r="A27" s="4">
        <v>1.4027930630655707</v>
      </c>
      <c r="B27" s="4">
        <v>5.5289399739773384E-2</v>
      </c>
      <c r="C27" s="6">
        <v>0.25692441508306896</v>
      </c>
    </row>
    <row r="28" spans="1:3" x14ac:dyDescent="0.3">
      <c r="A28" s="4">
        <v>8.5456788881981609</v>
      </c>
      <c r="B28" s="4">
        <v>1.3568750867256852E-2</v>
      </c>
      <c r="C28" s="6">
        <v>0.6633103429721009</v>
      </c>
    </row>
    <row r="29" spans="1:3" x14ac:dyDescent="0.3">
      <c r="A29" s="4">
        <v>3.8464858734122203</v>
      </c>
      <c r="B29" s="4">
        <v>2.5097972684428302E-2</v>
      </c>
      <c r="C29" s="6">
        <v>0.24368356601692198</v>
      </c>
    </row>
    <row r="30" spans="1:3" x14ac:dyDescent="0.3">
      <c r="A30" s="4">
        <v>8.1231984726683866</v>
      </c>
      <c r="B30" s="4">
        <v>5.2469387805803167E-2</v>
      </c>
      <c r="C30" s="6">
        <v>0.56505132067971264</v>
      </c>
    </row>
    <row r="31" spans="1:3" x14ac:dyDescent="0.3">
      <c r="A31" s="4">
        <v>4.6802302020514697</v>
      </c>
      <c r="B31" s="4">
        <v>5.6651472614051054E-2</v>
      </c>
      <c r="C31" s="6">
        <v>0.4722905932909065</v>
      </c>
    </row>
    <row r="32" spans="1:3" x14ac:dyDescent="0.3">
      <c r="A32" s="4">
        <v>10.869400565290459</v>
      </c>
      <c r="B32" s="4">
        <v>3.0565378751610764E-2</v>
      </c>
      <c r="C32" s="6">
        <v>0.63461637672113402</v>
      </c>
    </row>
    <row r="33" spans="1:3" x14ac:dyDescent="0.3">
      <c r="A33" s="4">
        <v>3.9146664010255066</v>
      </c>
      <c r="B33" s="4">
        <v>5.3612601656484307E-2</v>
      </c>
      <c r="C33" s="6">
        <v>0.26427613870425681</v>
      </c>
    </row>
    <row r="34" spans="1:3" x14ac:dyDescent="0.3">
      <c r="A34" s="4">
        <v>4.5075024080426545</v>
      </c>
      <c r="B34" s="4">
        <v>1.2662826088776969E-2</v>
      </c>
      <c r="C34" s="6">
        <v>0.62262389971490506</v>
      </c>
    </row>
    <row r="35" spans="1:3" x14ac:dyDescent="0.3">
      <c r="A35" s="4">
        <v>5.9805708989118322</v>
      </c>
      <c r="B35" s="4">
        <v>1.0169743635614443E-2</v>
      </c>
      <c r="C35" s="6">
        <v>0.68983689975407003</v>
      </c>
    </row>
    <row r="36" spans="1:3" x14ac:dyDescent="0.3">
      <c r="A36" s="4">
        <v>7.1054239339434009</v>
      </c>
      <c r="B36" s="4">
        <v>3.0055523740202525E-2</v>
      </c>
      <c r="C36" s="6">
        <v>0.5300793531943534</v>
      </c>
    </row>
    <row r="37" spans="1:3" x14ac:dyDescent="0.3">
      <c r="A37" s="4">
        <v>9.300905112553421</v>
      </c>
      <c r="B37" s="4">
        <v>4.8454472836271259E-2</v>
      </c>
      <c r="C37" s="6">
        <v>0.59785757576352738</v>
      </c>
    </row>
    <row r="38" spans="1:3" x14ac:dyDescent="0.3">
      <c r="A38" s="4">
        <v>2.3490249279405497</v>
      </c>
      <c r="B38" s="4">
        <v>5.1910534861334505E-2</v>
      </c>
      <c r="C38" s="6">
        <v>0.23975885554750409</v>
      </c>
    </row>
    <row r="39" spans="1:3" x14ac:dyDescent="0.3">
      <c r="A39" s="4">
        <v>8.7384925209793689</v>
      </c>
      <c r="B39" s="4">
        <v>5.3613842072692874E-2</v>
      </c>
      <c r="C39" s="6">
        <v>0.59498578725052254</v>
      </c>
    </row>
    <row r="40" spans="1:3" x14ac:dyDescent="0.3">
      <c r="A40" s="4">
        <v>9.8772310935891028</v>
      </c>
      <c r="B40" s="4">
        <v>3.2505942566761169E-2</v>
      </c>
      <c r="C40" s="6">
        <v>0.60117178113189695</v>
      </c>
    </row>
    <row r="41" spans="1:3" x14ac:dyDescent="0.3">
      <c r="A41" s="4">
        <v>9.3966024763096989</v>
      </c>
      <c r="B41" s="4">
        <v>4.3424758897292831E-2</v>
      </c>
      <c r="C41" s="6">
        <v>0.64678015251833931</v>
      </c>
    </row>
    <row r="42" spans="1:3" x14ac:dyDescent="0.3">
      <c r="A42" s="4">
        <v>8.6976848888820086</v>
      </c>
      <c r="B42" s="4">
        <v>4.7348815314400321E-2</v>
      </c>
      <c r="C42" s="6">
        <v>0.29802319506158736</v>
      </c>
    </row>
    <row r="43" spans="1:3" x14ac:dyDescent="0.3">
      <c r="A43" s="4">
        <v>8.9204542415548627</v>
      </c>
      <c r="B43" s="4">
        <v>1.3674280994419225E-2</v>
      </c>
      <c r="C43" s="6">
        <v>0.27041723174687338</v>
      </c>
    </row>
    <row r="44" spans="1:3" x14ac:dyDescent="0.3">
      <c r="A44" s="4">
        <v>6.6109332185481611</v>
      </c>
      <c r="B44" s="4">
        <v>5.676202379632414E-2</v>
      </c>
      <c r="C44" s="6">
        <v>0.46055551204184697</v>
      </c>
    </row>
    <row r="45" spans="1:3" x14ac:dyDescent="0.3">
      <c r="A45" s="4">
        <v>1.2550974996021949</v>
      </c>
      <c r="B45" s="4">
        <v>3.6418290708041159E-2</v>
      </c>
      <c r="C45" s="6">
        <v>0.63229804231588249</v>
      </c>
    </row>
    <row r="46" spans="1:3" x14ac:dyDescent="0.3">
      <c r="A46" s="4">
        <v>3.6993869665247816</v>
      </c>
      <c r="B46" s="4">
        <v>3.795859199446161E-2</v>
      </c>
      <c r="C46" s="6">
        <v>0.28290816055339119</v>
      </c>
    </row>
    <row r="47" spans="1:3" x14ac:dyDescent="0.3">
      <c r="A47" s="4">
        <v>4.8315484401644753</v>
      </c>
      <c r="B47" s="4">
        <v>4.0418583064794865E-2</v>
      </c>
      <c r="C47" s="6">
        <v>0.44450404250639997</v>
      </c>
    </row>
    <row r="48" spans="1:3" x14ac:dyDescent="0.3">
      <c r="A48" s="4">
        <v>4.9206383359559558</v>
      </c>
      <c r="B48" s="4">
        <v>4.1871553647260272E-2</v>
      </c>
      <c r="C48" s="6">
        <v>0.31914538221676392</v>
      </c>
    </row>
    <row r="49" spans="1:3" x14ac:dyDescent="0.3">
      <c r="A49" s="4">
        <v>8.0516670143246962</v>
      </c>
      <c r="B49" s="4">
        <v>4.3646293932275725E-2</v>
      </c>
      <c r="C49" s="6">
        <v>0.29875486333017853</v>
      </c>
    </row>
    <row r="50" spans="1:3" x14ac:dyDescent="0.3">
      <c r="A50" s="4">
        <v>6.9514260211182624</v>
      </c>
      <c r="B50" s="4">
        <v>4.5988347961935357E-2</v>
      </c>
      <c r="C50" s="6">
        <v>0.68617424011340833</v>
      </c>
    </row>
    <row r="51" spans="1:3" x14ac:dyDescent="0.3">
      <c r="A51" s="4">
        <v>8.3901456324162869</v>
      </c>
      <c r="B51" s="4">
        <v>5.8158710199308669E-2</v>
      </c>
      <c r="C51" s="6">
        <v>0.47821276883639796</v>
      </c>
    </row>
    <row r="52" spans="1:3" x14ac:dyDescent="0.3">
      <c r="A52" s="4">
        <v>3.5906797538514317</v>
      </c>
      <c r="B52" s="4">
        <v>2.1663832222160669E-2</v>
      </c>
      <c r="C52" s="6">
        <v>0.37728556210490194</v>
      </c>
    </row>
    <row r="53" spans="1:3" x14ac:dyDescent="0.3">
      <c r="A53" s="4">
        <v>8.5378732197979161</v>
      </c>
      <c r="B53" s="4">
        <v>2.996236509505823E-2</v>
      </c>
      <c r="C53" s="6">
        <v>0.61104187246048813</v>
      </c>
    </row>
    <row r="54" spans="1:3" x14ac:dyDescent="0.3">
      <c r="A54" s="4">
        <v>2.9856840834995526</v>
      </c>
      <c r="B54" s="4">
        <v>2.8207052284732879E-2</v>
      </c>
      <c r="C54" s="6">
        <v>0.24488742906452443</v>
      </c>
    </row>
    <row r="55" spans="1:3" x14ac:dyDescent="0.3">
      <c r="A55" s="4">
        <v>8.2342757175777361</v>
      </c>
      <c r="B55" s="4">
        <v>3.2130693570795996E-2</v>
      </c>
      <c r="C55" s="6">
        <v>0.25464974174436694</v>
      </c>
    </row>
    <row r="56" spans="1:3" x14ac:dyDescent="0.3">
      <c r="A56" s="4">
        <v>1.088466378198353</v>
      </c>
      <c r="B56" s="4">
        <v>2.441100327085248E-2</v>
      </c>
      <c r="C56" s="6">
        <v>0.30861886504360347</v>
      </c>
    </row>
    <row r="57" spans="1:3" x14ac:dyDescent="0.3">
      <c r="A57" s="4">
        <v>8.1622363044850736</v>
      </c>
      <c r="B57" s="4">
        <v>5.3328414198889326E-2</v>
      </c>
      <c r="C57" s="6">
        <v>0.34290007437103986</v>
      </c>
    </row>
    <row r="58" spans="1:3" x14ac:dyDescent="0.3">
      <c r="A58" s="4">
        <v>2.2122162163148911</v>
      </c>
      <c r="B58" s="4">
        <v>5.5072206066467781E-2</v>
      </c>
      <c r="C58" s="6">
        <v>0.33976200731732742</v>
      </c>
    </row>
    <row r="59" spans="1:3" x14ac:dyDescent="0.3">
      <c r="A59" s="4">
        <v>9.6913262885539115</v>
      </c>
      <c r="B59" s="4">
        <v>3.9478714859582362E-2</v>
      </c>
      <c r="C59" s="6">
        <v>0.3213960702055253</v>
      </c>
    </row>
    <row r="60" spans="1:3" x14ac:dyDescent="0.3">
      <c r="A60" s="4">
        <v>8.0233677127741974</v>
      </c>
      <c r="B60" s="4">
        <v>2.9011169908627489E-2</v>
      </c>
      <c r="C60" s="6">
        <v>0.4221139839134509</v>
      </c>
    </row>
    <row r="61" spans="1:3" x14ac:dyDescent="0.3">
      <c r="A61" s="4">
        <v>2.3189503091178958</v>
      </c>
      <c r="B61" s="4">
        <v>1.1732376427232622E-2</v>
      </c>
      <c r="C61" s="6">
        <v>0.2117527587759801</v>
      </c>
    </row>
    <row r="62" spans="1:3" x14ac:dyDescent="0.3">
      <c r="A62" s="4">
        <v>6.1665311912174747</v>
      </c>
      <c r="B62" s="4">
        <v>1.0611659424387423E-2</v>
      </c>
      <c r="C62" s="6">
        <v>0.68773675939844758</v>
      </c>
    </row>
    <row r="63" spans="1:3" x14ac:dyDescent="0.3">
      <c r="A63" s="4">
        <v>4.1569754396347722</v>
      </c>
      <c r="B63" s="4">
        <v>2.1458863144407495E-2</v>
      </c>
      <c r="C63" s="6">
        <v>0.39674587505405601</v>
      </c>
    </row>
    <row r="64" spans="1:3" x14ac:dyDescent="0.3">
      <c r="A64" s="4">
        <v>10.268248883815462</v>
      </c>
      <c r="B64" s="4">
        <v>2.3410762736715891E-2</v>
      </c>
      <c r="C64" s="6">
        <v>0.42137740161448733</v>
      </c>
    </row>
    <row r="65" spans="1:3" x14ac:dyDescent="0.3">
      <c r="A65" s="4">
        <v>10.673199998652498</v>
      </c>
      <c r="B65" s="4">
        <v>2.333808157823301E-2</v>
      </c>
      <c r="C65" s="6">
        <v>0.29064867434225439</v>
      </c>
    </row>
    <row r="66" spans="1:3" x14ac:dyDescent="0.3">
      <c r="A66" s="4">
        <v>1.3826549331444318</v>
      </c>
      <c r="B66" s="4">
        <v>1.1950136557084717E-2</v>
      </c>
      <c r="C66" s="6">
        <v>0.54348701272375433</v>
      </c>
    </row>
    <row r="67" spans="1:3" x14ac:dyDescent="0.3">
      <c r="A67" s="4">
        <v>3.1536814019105055</v>
      </c>
      <c r="B67" s="4">
        <v>5.8269265206104433E-2</v>
      </c>
      <c r="C67" s="6">
        <v>0.60731939550287373</v>
      </c>
    </row>
    <row r="68" spans="1:3" x14ac:dyDescent="0.3">
      <c r="A68" s="4">
        <v>9.264013733791856</v>
      </c>
      <c r="B68" s="4">
        <v>4.2326681377969522E-2</v>
      </c>
      <c r="C68" s="6">
        <v>0.54733973209912379</v>
      </c>
    </row>
    <row r="69" spans="1:3" x14ac:dyDescent="0.3">
      <c r="A69" s="4">
        <v>10.158135652355226</v>
      </c>
      <c r="B69" s="4">
        <v>2.0607417482393933E-2</v>
      </c>
      <c r="C69" s="6">
        <v>0.31161773195781539</v>
      </c>
    </row>
    <row r="70" spans="1:3" x14ac:dyDescent="0.3">
      <c r="A70" s="4">
        <v>1.3299276916067184</v>
      </c>
      <c r="B70" s="4">
        <v>5.5943242813198658E-2</v>
      </c>
      <c r="C70" s="6">
        <v>0.65960207770955959</v>
      </c>
    </row>
    <row r="71" spans="1:3" x14ac:dyDescent="0.3">
      <c r="A71" s="4">
        <v>1.6612967459346408</v>
      </c>
      <c r="B71" s="4">
        <v>1.4203439875536579E-2</v>
      </c>
      <c r="C71" s="6">
        <v>0.44582121139090425</v>
      </c>
    </row>
    <row r="72" spans="1:3" x14ac:dyDescent="0.3">
      <c r="A72" s="4">
        <v>2.224656752148042</v>
      </c>
      <c r="B72" s="4">
        <v>4.3920475820826387E-2</v>
      </c>
      <c r="C72" s="6">
        <v>0.46300614450734534</v>
      </c>
    </row>
    <row r="73" spans="1:3" x14ac:dyDescent="0.3">
      <c r="A73" s="4">
        <v>4.742387246625027</v>
      </c>
      <c r="B73" s="4">
        <v>3.5737095870318626E-2</v>
      </c>
      <c r="C73" s="6">
        <v>0.36469003508983466</v>
      </c>
    </row>
    <row r="74" spans="1:3" x14ac:dyDescent="0.3">
      <c r="A74" s="4">
        <v>5.307747345723457</v>
      </c>
      <c r="B74" s="4">
        <v>3.9974862484740449E-2</v>
      </c>
      <c r="C74" s="6">
        <v>0.44641921040529908</v>
      </c>
    </row>
    <row r="75" spans="1:3" x14ac:dyDescent="0.3">
      <c r="A75" s="4">
        <v>6.3199029324760971</v>
      </c>
      <c r="B75" s="4">
        <v>1.2279061281115403E-2</v>
      </c>
      <c r="C75" s="6">
        <v>0.4899126991343784</v>
      </c>
    </row>
    <row r="76" spans="1:3" x14ac:dyDescent="0.3">
      <c r="A76" s="4">
        <v>1.0413124437954882</v>
      </c>
      <c r="B76" s="4">
        <v>4.3680320905037082E-2</v>
      </c>
      <c r="C76" s="6">
        <v>0.6128320693544691</v>
      </c>
    </row>
    <row r="77" spans="1:3" x14ac:dyDescent="0.3">
      <c r="A77" s="4">
        <v>10.390369034934245</v>
      </c>
      <c r="B77" s="4">
        <v>3.9221079323609319E-2</v>
      </c>
      <c r="C77" s="6">
        <v>0.55158045878683415</v>
      </c>
    </row>
    <row r="78" spans="1:3" x14ac:dyDescent="0.3">
      <c r="A78" s="4">
        <v>7.6282329803220286</v>
      </c>
      <c r="B78" s="4">
        <v>5.3480651284804309E-2</v>
      </c>
      <c r="C78" s="6">
        <v>0.22903941923322435</v>
      </c>
    </row>
    <row r="79" spans="1:3" x14ac:dyDescent="0.3">
      <c r="A79" s="4">
        <v>10.932476153502993</v>
      </c>
      <c r="B79" s="4">
        <v>1.0870188362631901E-2</v>
      </c>
      <c r="C79" s="6">
        <v>0.2246684297905045</v>
      </c>
    </row>
    <row r="80" spans="1:3" x14ac:dyDescent="0.3">
      <c r="A80" s="4">
        <v>6.4904765563408242</v>
      </c>
      <c r="B80" s="4">
        <v>2.4968299520919099E-2</v>
      </c>
      <c r="C80" s="6">
        <v>0.69029541274852779</v>
      </c>
    </row>
    <row r="81" spans="1:3" x14ac:dyDescent="0.3">
      <c r="A81" s="4">
        <v>4.2203536777115485</v>
      </c>
      <c r="B81" s="4">
        <v>3.5662444226601267E-2</v>
      </c>
      <c r="C81" s="6">
        <v>0.33517539806233332</v>
      </c>
    </row>
    <row r="82" spans="1:3" x14ac:dyDescent="0.3">
      <c r="A82" s="4">
        <v>7.5032704384548854</v>
      </c>
      <c r="B82" s="4">
        <v>2.6967058719719314E-2</v>
      </c>
      <c r="C82" s="6">
        <v>0.65168796537799534</v>
      </c>
    </row>
    <row r="83" spans="1:3" x14ac:dyDescent="0.3">
      <c r="A83" s="4">
        <v>1.6071629117449462</v>
      </c>
      <c r="B83" s="4">
        <v>1.8815576231867477E-2</v>
      </c>
      <c r="C83" s="6">
        <v>0.65605080246849312</v>
      </c>
    </row>
    <row r="84" spans="1:3" x14ac:dyDescent="0.3">
      <c r="A84" s="4">
        <v>6.7506477987089628</v>
      </c>
      <c r="B84" s="4">
        <v>3.2925012514916363E-2</v>
      </c>
      <c r="C84" s="6">
        <v>0.34616762559222491</v>
      </c>
    </row>
    <row r="85" spans="1:3" x14ac:dyDescent="0.3">
      <c r="A85" s="4">
        <v>2.4725346173984621</v>
      </c>
      <c r="B85" s="4">
        <v>2.0879036035778949E-2</v>
      </c>
      <c r="C85" s="6">
        <v>0.66212402721431252</v>
      </c>
    </row>
    <row r="86" spans="1:3" x14ac:dyDescent="0.3">
      <c r="A86" s="4">
        <v>4.3598091117805975</v>
      </c>
      <c r="B86" s="4">
        <v>5.0851557829304547E-2</v>
      </c>
      <c r="C86" s="6">
        <v>0.34106067816254171</v>
      </c>
    </row>
    <row r="87" spans="1:3" x14ac:dyDescent="0.3">
      <c r="A87" s="4">
        <v>3.5286804008345101</v>
      </c>
      <c r="B87" s="4">
        <v>5.7702934543936872E-2</v>
      </c>
      <c r="C87" s="6">
        <v>0.42962505681095808</v>
      </c>
    </row>
    <row r="88" spans="1:3" x14ac:dyDescent="0.3">
      <c r="A88" s="4">
        <v>2.6810414577976776</v>
      </c>
      <c r="B88" s="4">
        <v>3.0008868947872594E-2</v>
      </c>
      <c r="C88" s="6">
        <v>0.42656939327163235</v>
      </c>
    </row>
    <row r="89" spans="1:3" x14ac:dyDescent="0.3">
      <c r="A89" s="4">
        <v>6.1801900119593309</v>
      </c>
      <c r="B89" s="4">
        <v>5.7983949502188034E-2</v>
      </c>
      <c r="C89" s="6">
        <v>0.24529615989531661</v>
      </c>
    </row>
    <row r="90" spans="1:3" x14ac:dyDescent="0.3">
      <c r="A90" s="4">
        <v>4.0840100182008765</v>
      </c>
      <c r="B90" s="4">
        <v>5.2498773572615759E-2</v>
      </c>
      <c r="C90" s="6">
        <v>0.47841175237598021</v>
      </c>
    </row>
    <row r="91" spans="1:3" x14ac:dyDescent="0.3">
      <c r="A91" s="4">
        <v>8.836820414761176</v>
      </c>
      <c r="B91" s="4">
        <v>1.2635764473106336E-2</v>
      </c>
      <c r="C91" s="6">
        <v>0.5404282094171039</v>
      </c>
    </row>
    <row r="92" spans="1:3" x14ac:dyDescent="0.3">
      <c r="A92" s="4">
        <v>5.1747923692476121</v>
      </c>
      <c r="B92" s="4">
        <v>1.3085501551217717E-2</v>
      </c>
      <c r="C92" s="6">
        <v>0.36883666172921803</v>
      </c>
    </row>
    <row r="93" spans="1:3" x14ac:dyDescent="0.3">
      <c r="A93" s="4">
        <v>7.1639513188156458</v>
      </c>
      <c r="B93" s="4">
        <v>4.9845548787286774E-2</v>
      </c>
      <c r="C93" s="6">
        <v>0.69111517152179447</v>
      </c>
    </row>
    <row r="94" spans="1:3" x14ac:dyDescent="0.3">
      <c r="A94" s="4">
        <v>3.6691814282358681</v>
      </c>
      <c r="B94" s="4">
        <v>5.0411256926503542E-2</v>
      </c>
      <c r="C94" s="6">
        <v>0.60933843535586474</v>
      </c>
    </row>
    <row r="95" spans="1:3" x14ac:dyDescent="0.3">
      <c r="A95" s="4">
        <v>4.1683012957365015</v>
      </c>
      <c r="B95" s="4">
        <v>5.8145477038991644E-2</v>
      </c>
      <c r="C95" s="6">
        <v>0.47619805291810435</v>
      </c>
    </row>
    <row r="96" spans="1:3" x14ac:dyDescent="0.3">
      <c r="A96" s="4">
        <v>2.1463075591611704</v>
      </c>
      <c r="B96" s="4">
        <v>3.2572506188292945E-2</v>
      </c>
      <c r="C96" s="6">
        <v>0.44802418381057518</v>
      </c>
    </row>
    <row r="97" spans="1:3" x14ac:dyDescent="0.3">
      <c r="A97" s="4">
        <v>9.5160575448490228</v>
      </c>
      <c r="B97" s="4">
        <v>5.2432685396596533E-2</v>
      </c>
      <c r="C97" s="6">
        <v>0.27749968198730535</v>
      </c>
    </row>
    <row r="98" spans="1:3" x14ac:dyDescent="0.3">
      <c r="A98" s="4">
        <v>10.335128386225792</v>
      </c>
      <c r="B98" s="4">
        <v>4.4779252151959749E-2</v>
      </c>
      <c r="C98" s="6">
        <v>0.42073014950101695</v>
      </c>
    </row>
    <row r="99" spans="1:3" x14ac:dyDescent="0.3">
      <c r="A99" s="4">
        <v>3.2827689510927476</v>
      </c>
      <c r="B99" s="4">
        <v>5.1115027311982954E-2</v>
      </c>
      <c r="C99" s="6">
        <v>0.67895755809370006</v>
      </c>
    </row>
    <row r="100" spans="1:3" x14ac:dyDescent="0.3">
      <c r="A100" s="4">
        <v>10.83290271438835</v>
      </c>
      <c r="B100" s="4">
        <v>2.96340928516063E-2</v>
      </c>
      <c r="C100" s="6">
        <v>0.62216876669906396</v>
      </c>
    </row>
    <row r="101" spans="1:3" x14ac:dyDescent="0.3">
      <c r="A101" s="7">
        <v>4.1876166894992117</v>
      </c>
      <c r="B101" s="7">
        <v>4.5849843442694431E-2</v>
      </c>
      <c r="C101" s="8">
        <v>0.62765712114478645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4A75-DBF8-4FAB-9FE0-AD9E0F63F1AD}">
  <dimension ref="A1:M109"/>
  <sheetViews>
    <sheetView showGridLines="0" tabSelected="1" zoomScale="148" zoomScaleNormal="280" workbookViewId="0">
      <selection activeCell="F6" sqref="F6"/>
    </sheetView>
  </sheetViews>
  <sheetFormatPr defaultRowHeight="14.4" x14ac:dyDescent="0.3"/>
  <cols>
    <col min="1" max="1" width="6.109375" bestFit="1" customWidth="1"/>
    <col min="2" max="2" width="10.44140625" bestFit="1" customWidth="1"/>
    <col min="3" max="3" width="7.6640625" bestFit="1" customWidth="1"/>
    <col min="4" max="4" width="7" bestFit="1" customWidth="1"/>
    <col min="5" max="5" width="10.44140625" bestFit="1" customWidth="1"/>
    <col min="6" max="6" width="7" bestFit="1" customWidth="1"/>
    <col min="7" max="9" width="7.5546875" bestFit="1" customWidth="1"/>
    <col min="10" max="10" width="11.6640625" customWidth="1"/>
  </cols>
  <sheetData>
    <row r="1" spans="1:13" x14ac:dyDescent="0.3">
      <c r="A1" s="39" t="s">
        <v>16</v>
      </c>
      <c r="B1" s="39"/>
      <c r="C1" s="39"/>
      <c r="E1" s="40" t="s">
        <v>22</v>
      </c>
      <c r="F1" s="41">
        <v>0.999</v>
      </c>
      <c r="H1" s="9" t="s">
        <v>3</v>
      </c>
    </row>
    <row r="2" spans="1:13" x14ac:dyDescent="0.3">
      <c r="A2" s="37" t="s">
        <v>17</v>
      </c>
      <c r="B2" s="37"/>
      <c r="C2" s="28">
        <f>+G8</f>
        <v>72.826500703692091</v>
      </c>
      <c r="E2" s="40"/>
      <c r="F2" s="41"/>
      <c r="H2" t="s">
        <v>4</v>
      </c>
    </row>
    <row r="3" spans="1:13" x14ac:dyDescent="0.3">
      <c r="A3" s="37" t="s">
        <v>18</v>
      </c>
      <c r="B3" s="37"/>
      <c r="C3" s="28">
        <f>+H8</f>
        <v>141.56448680403619</v>
      </c>
      <c r="H3" t="s">
        <v>14</v>
      </c>
    </row>
    <row r="4" spans="1:13" x14ac:dyDescent="0.3">
      <c r="A4" s="37"/>
      <c r="B4" s="37"/>
      <c r="C4" s="37"/>
      <c r="H4" t="s">
        <v>20</v>
      </c>
    </row>
    <row r="5" spans="1:13" x14ac:dyDescent="0.3">
      <c r="A5" s="38" t="s">
        <v>19</v>
      </c>
      <c r="B5" s="38"/>
      <c r="C5" s="29">
        <f>C3-C2</f>
        <v>68.737986100344102</v>
      </c>
      <c r="H5" t="s">
        <v>21</v>
      </c>
    </row>
    <row r="7" spans="1:13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3" x14ac:dyDescent="0.3">
      <c r="A8" s="11" t="s">
        <v>5</v>
      </c>
      <c r="B8" s="11">
        <f>+SUM(B10:B109)</f>
        <v>584.3740024474688</v>
      </c>
      <c r="C8" s="11"/>
      <c r="D8" s="11"/>
      <c r="E8" s="11"/>
      <c r="F8" s="11"/>
      <c r="G8" s="11">
        <f>SUM(G10:G109)</f>
        <v>72.826500703692091</v>
      </c>
      <c r="H8" s="11">
        <f t="shared" ref="H8:I8" si="0">SUM(H10:H109)</f>
        <v>141.56448680403619</v>
      </c>
      <c r="I8" s="11">
        <f t="shared" si="0"/>
        <v>68.737986100344088</v>
      </c>
      <c r="J8" s="12"/>
      <c r="K8" s="12"/>
      <c r="L8" s="11"/>
      <c r="M8" s="11"/>
    </row>
    <row r="9" spans="1:13" x14ac:dyDescent="0.3">
      <c r="A9" s="10" t="s">
        <v>6</v>
      </c>
      <c r="B9" s="10" t="s">
        <v>7</v>
      </c>
      <c r="C9" s="30" t="s">
        <v>8</v>
      </c>
      <c r="D9" s="10" t="s">
        <v>9</v>
      </c>
      <c r="E9" s="30" t="s">
        <v>12</v>
      </c>
      <c r="F9" s="36" t="s">
        <v>13</v>
      </c>
      <c r="G9" s="10" t="s">
        <v>10</v>
      </c>
      <c r="H9" s="10" t="s">
        <v>15</v>
      </c>
      <c r="I9" s="10" t="s">
        <v>11</v>
      </c>
      <c r="L9" s="12"/>
      <c r="M9" s="12"/>
    </row>
    <row r="10" spans="1:13" x14ac:dyDescent="0.3">
      <c r="A10" s="16">
        <v>1</v>
      </c>
      <c r="B10" s="13">
        <v>2.1113429466439317</v>
      </c>
      <c r="C10" s="19">
        <v>0.20236783393879701</v>
      </c>
      <c r="D10" s="14">
        <v>0.35169592564001417</v>
      </c>
      <c r="E10" s="31">
        <f>0.12 + 0.24*EXP(-50*C10)</f>
        <v>0.12000967942506471</v>
      </c>
      <c r="F10" s="13">
        <f>_xlfn.NORM.S.DIST((_xlfn.NORM.S.INV(C10)+(SQRT(E10)*_xlfn.NORM.S.INV($F$1)))/SQRT(1-E10),TRUE)</f>
        <v>0.59986750774065456</v>
      </c>
      <c r="G10" s="22">
        <f t="shared" ref="G10:G41" si="1">+B10*C10*D10</f>
        <v>0.15026837916975547</v>
      </c>
      <c r="H10" s="15">
        <f>+B10*F10*D10</f>
        <v>0.44543204495656497</v>
      </c>
      <c r="I10" s="22">
        <f>+H10-G10</f>
        <v>0.29516366578680953</v>
      </c>
      <c r="J10" s="35"/>
    </row>
    <row r="11" spans="1:13" x14ac:dyDescent="0.3">
      <c r="A11" s="17">
        <v>2</v>
      </c>
      <c r="B11" s="13">
        <v>5.2990654697138799</v>
      </c>
      <c r="C11" s="20">
        <v>0.05</v>
      </c>
      <c r="D11" s="14">
        <v>0.33903870304024408</v>
      </c>
      <c r="E11" s="32">
        <f>0.12 + 0.24*EXP(-50*C11)</f>
        <v>0.13970039966973571</v>
      </c>
      <c r="F11" s="13">
        <f t="shared" ref="F10:F41" si="2">_xlfn.NORM.S.DIST((_xlfn.NORM.S.INV(C11)+(SQRT(E11)*_xlfn.NORM.S.INV($F$1)))/SQRT(1-E11),TRUE)</f>
        <v>0.29871221804540987</v>
      </c>
      <c r="G11" s="23">
        <f t="shared" si="1"/>
        <v>8.9829414208856789E-2</v>
      </c>
      <c r="H11" s="15">
        <f t="shared" ref="H11:H74" si="3">+B11*F11*D11</f>
        <v>0.53666287128094936</v>
      </c>
      <c r="I11" s="23">
        <f t="shared" ref="I11:I74" si="4">+H11-G11</f>
        <v>0.44683345707209254</v>
      </c>
      <c r="J11" s="34"/>
    </row>
    <row r="12" spans="1:13" x14ac:dyDescent="0.3">
      <c r="A12" s="17">
        <v>3</v>
      </c>
      <c r="B12" s="13">
        <v>7.6585824444947148</v>
      </c>
      <c r="C12" s="20">
        <v>0.88137319458156804</v>
      </c>
      <c r="D12" s="14">
        <v>0.69064927587385094</v>
      </c>
      <c r="E12" s="32">
        <f t="shared" ref="E12:E74" si="5">0.12 + 0.24*EXP(-50*C12)</f>
        <v>0.12</v>
      </c>
      <c r="F12" s="13">
        <f t="shared" si="2"/>
        <v>0.99182553400411688</v>
      </c>
      <c r="G12" s="23">
        <f t="shared" si="1"/>
        <v>4.6619304569258544</v>
      </c>
      <c r="H12" s="15">
        <f t="shared" si="3"/>
        <v>5.24615644468936</v>
      </c>
      <c r="I12" s="23">
        <f t="shared" si="4"/>
        <v>0.58422598776350565</v>
      </c>
      <c r="J12" s="34"/>
    </row>
    <row r="13" spans="1:13" x14ac:dyDescent="0.3">
      <c r="A13" s="17">
        <v>4</v>
      </c>
      <c r="B13" s="13">
        <v>10.038626011511203</v>
      </c>
      <c r="C13" s="20">
        <v>0.04</v>
      </c>
      <c r="D13" s="14">
        <v>0.24844378273133538</v>
      </c>
      <c r="E13" s="32">
        <f t="shared" si="5"/>
        <v>0.15248046797678705</v>
      </c>
      <c r="F13" s="13">
        <f t="shared" si="2"/>
        <v>0.27729311168139481</v>
      </c>
      <c r="G13" s="23">
        <f t="shared" si="1"/>
        <v>9.9761368789000854E-2</v>
      </c>
      <c r="H13" s="15">
        <f t="shared" si="3"/>
        <v>0.69157850942743071</v>
      </c>
      <c r="I13" s="23">
        <f t="shared" si="4"/>
        <v>0.59181714063842983</v>
      </c>
    </row>
    <row r="14" spans="1:13" x14ac:dyDescent="0.3">
      <c r="A14" s="17">
        <v>5</v>
      </c>
      <c r="B14" s="13">
        <v>3.3824982370826788</v>
      </c>
      <c r="C14" s="20">
        <v>0.195809469443954</v>
      </c>
      <c r="D14" s="14">
        <v>0.47692779861809298</v>
      </c>
      <c r="E14" s="32">
        <f t="shared" si="5"/>
        <v>0.12001343577237426</v>
      </c>
      <c r="F14" s="13">
        <f t="shared" si="2"/>
        <v>0.59016916049623747</v>
      </c>
      <c r="G14" s="23">
        <f t="shared" si="1"/>
        <v>0.31588129254593122</v>
      </c>
      <c r="H14" s="15">
        <f t="shared" si="3"/>
        <v>0.95206527941519226</v>
      </c>
      <c r="I14" s="23">
        <f t="shared" si="4"/>
        <v>0.63618398686926103</v>
      </c>
    </row>
    <row r="15" spans="1:13" x14ac:dyDescent="0.3">
      <c r="A15" s="17">
        <v>6</v>
      </c>
      <c r="B15" s="13">
        <v>3.4972013890719724</v>
      </c>
      <c r="C15" s="20">
        <v>0.01</v>
      </c>
      <c r="D15" s="14">
        <v>0.36116161253290635</v>
      </c>
      <c r="E15" s="32">
        <f t="shared" si="5"/>
        <v>0.26556735833103201</v>
      </c>
      <c r="F15" s="13">
        <f t="shared" si="2"/>
        <v>0.19591254688356038</v>
      </c>
      <c r="G15" s="23">
        <f t="shared" si="1"/>
        <v>1.2630548930295535E-2</v>
      </c>
      <c r="H15" s="15">
        <f t="shared" si="3"/>
        <v>0.24744830094716277</v>
      </c>
      <c r="I15" s="23">
        <f t="shared" si="4"/>
        <v>0.23481775201686725</v>
      </c>
    </row>
    <row r="16" spans="1:13" x14ac:dyDescent="0.3">
      <c r="A16" s="17">
        <v>7</v>
      </c>
      <c r="B16" s="13">
        <v>5.846290427679639</v>
      </c>
      <c r="C16" s="20">
        <v>0.75498156353526003</v>
      </c>
      <c r="D16" s="14">
        <v>0.26492403810112031</v>
      </c>
      <c r="E16" s="32">
        <f t="shared" si="5"/>
        <v>0.12000000000000001</v>
      </c>
      <c r="F16" s="13">
        <f t="shared" si="2"/>
        <v>0.96973773677906838</v>
      </c>
      <c r="G16" s="23">
        <f t="shared" si="1"/>
        <v>1.1693327105314812</v>
      </c>
      <c r="H16" s="15">
        <f t="shared" si="3"/>
        <v>1.5019519826984136</v>
      </c>
      <c r="I16" s="23">
        <f t="shared" si="4"/>
        <v>0.33261927216693232</v>
      </c>
    </row>
    <row r="17" spans="1:9" x14ac:dyDescent="0.3">
      <c r="A17" s="17">
        <v>8</v>
      </c>
      <c r="B17" s="13">
        <v>7.9710898417598175</v>
      </c>
      <c r="C17" s="20">
        <v>0.04</v>
      </c>
      <c r="D17" s="14">
        <v>0.24926484699453844</v>
      </c>
      <c r="E17" s="32">
        <f t="shared" si="5"/>
        <v>0.15248046797678705</v>
      </c>
      <c r="F17" s="13">
        <f t="shared" si="2"/>
        <v>0.27729311168139481</v>
      </c>
      <c r="G17" s="23">
        <f t="shared" si="1"/>
        <v>7.9476499591439223E-2</v>
      </c>
      <c r="H17" s="15">
        <f t="shared" si="3"/>
        <v>0.55095714693138209</v>
      </c>
      <c r="I17" s="23">
        <f t="shared" si="4"/>
        <v>0.47148064733994288</v>
      </c>
    </row>
    <row r="18" spans="1:9" x14ac:dyDescent="0.3">
      <c r="A18" s="17">
        <v>9</v>
      </c>
      <c r="B18" s="13">
        <v>8.1065641175803922</v>
      </c>
      <c r="C18" s="20">
        <v>0.197681871417244</v>
      </c>
      <c r="D18" s="14">
        <v>0.21409737444550792</v>
      </c>
      <c r="E18" s="32">
        <f t="shared" si="5"/>
        <v>0.12001223499919943</v>
      </c>
      <c r="F18" s="13">
        <f t="shared" si="2"/>
        <v>0.59296346269326139</v>
      </c>
      <c r="G18" s="23">
        <f t="shared" si="1"/>
        <v>0.34309548839377274</v>
      </c>
      <c r="H18" s="15">
        <f t="shared" si="3"/>
        <v>1.0291438834216773</v>
      </c>
      <c r="I18" s="23">
        <f t="shared" si="4"/>
        <v>0.6860483950279046</v>
      </c>
    </row>
    <row r="19" spans="1:9" x14ac:dyDescent="0.3">
      <c r="A19" s="17">
        <v>10</v>
      </c>
      <c r="B19" s="13">
        <v>6.7961997466100836</v>
      </c>
      <c r="C19" s="20">
        <v>0.04</v>
      </c>
      <c r="D19" s="14">
        <v>0.31568127025083792</v>
      </c>
      <c r="E19" s="32">
        <f t="shared" si="5"/>
        <v>0.15248046797678705</v>
      </c>
      <c r="F19" s="13">
        <f t="shared" si="2"/>
        <v>0.27729311168139481</v>
      </c>
      <c r="G19" s="23">
        <f t="shared" si="1"/>
        <v>8.5817318755531752E-2</v>
      </c>
      <c r="H19" s="15">
        <f t="shared" si="3"/>
        <v>0.5949137838468882</v>
      </c>
      <c r="I19" s="23">
        <f t="shared" si="4"/>
        <v>0.50909646509135642</v>
      </c>
    </row>
    <row r="20" spans="1:9" x14ac:dyDescent="0.3">
      <c r="A20" s="17">
        <v>11</v>
      </c>
      <c r="B20" s="13">
        <v>8.3969892927697209</v>
      </c>
      <c r="C20" s="20">
        <v>0.99944096613559996</v>
      </c>
      <c r="D20" s="14">
        <v>0.44498065115823748</v>
      </c>
      <c r="E20" s="32">
        <f t="shared" si="5"/>
        <v>0.12</v>
      </c>
      <c r="F20" s="13">
        <f t="shared" si="2"/>
        <v>0.99999803685573796</v>
      </c>
      <c r="G20" s="23">
        <f t="shared" si="1"/>
        <v>3.7344089344814977</v>
      </c>
      <c r="H20" s="15">
        <f t="shared" si="3"/>
        <v>3.7364904279812747</v>
      </c>
      <c r="I20" s="23">
        <f t="shared" si="4"/>
        <v>2.0814934997770429E-3</v>
      </c>
    </row>
    <row r="21" spans="1:9" x14ac:dyDescent="0.3">
      <c r="A21" s="17">
        <v>12</v>
      </c>
      <c r="B21" s="13">
        <v>8.5308127305734267</v>
      </c>
      <c r="C21" s="20">
        <v>0.05</v>
      </c>
      <c r="D21" s="14">
        <v>0.32100408780730172</v>
      </c>
      <c r="E21" s="32">
        <f t="shared" si="5"/>
        <v>0.13970039966973571</v>
      </c>
      <c r="F21" s="13">
        <f t="shared" si="2"/>
        <v>0.29871221804540987</v>
      </c>
      <c r="G21" s="23">
        <f t="shared" si="1"/>
        <v>0.136921287941632</v>
      </c>
      <c r="H21" s="15">
        <f t="shared" si="3"/>
        <v>0.81800123237358247</v>
      </c>
      <c r="I21" s="23">
        <f t="shared" si="4"/>
        <v>0.68107994443195041</v>
      </c>
    </row>
    <row r="22" spans="1:9" x14ac:dyDescent="0.3">
      <c r="A22" s="17">
        <v>13</v>
      </c>
      <c r="B22" s="13">
        <v>9.4238857390804043</v>
      </c>
      <c r="C22" s="20">
        <v>0.59997383226612899</v>
      </c>
      <c r="D22" s="14">
        <v>0.61231089109667203</v>
      </c>
      <c r="E22" s="32">
        <f t="shared" si="5"/>
        <v>0.12000000000002248</v>
      </c>
      <c r="F22" s="13">
        <f t="shared" si="2"/>
        <v>0.92089842312883574</v>
      </c>
      <c r="G22" s="23">
        <f t="shared" si="1"/>
        <v>3.4620577277662026</v>
      </c>
      <c r="H22" s="15">
        <f t="shared" si="3"/>
        <v>5.313904258522248</v>
      </c>
      <c r="I22" s="23">
        <f t="shared" si="4"/>
        <v>1.8518465307560454</v>
      </c>
    </row>
    <row r="23" spans="1:9" x14ac:dyDescent="0.3">
      <c r="A23" s="17">
        <v>14</v>
      </c>
      <c r="B23" s="13">
        <v>5.8069208500142322</v>
      </c>
      <c r="C23" s="20">
        <v>0.04</v>
      </c>
      <c r="D23" s="14">
        <v>0.66422676411838821</v>
      </c>
      <c r="E23" s="32">
        <f t="shared" si="5"/>
        <v>0.15248046797678705</v>
      </c>
      <c r="F23" s="13">
        <f t="shared" si="2"/>
        <v>0.27729311168139481</v>
      </c>
      <c r="G23" s="23">
        <f t="shared" si="1"/>
        <v>0.15428448982786214</v>
      </c>
      <c r="H23" s="15">
        <f t="shared" si="3"/>
        <v>1.0695506567136102</v>
      </c>
      <c r="I23" s="23">
        <f t="shared" si="4"/>
        <v>0.91526616688574802</v>
      </c>
    </row>
    <row r="24" spans="1:9" x14ac:dyDescent="0.3">
      <c r="A24" s="17">
        <v>15</v>
      </c>
      <c r="B24" s="13">
        <v>1.6485775448739683</v>
      </c>
      <c r="C24" s="20">
        <v>0.52133645223601299</v>
      </c>
      <c r="D24" s="14">
        <v>0.23878214999183223</v>
      </c>
      <c r="E24" s="32">
        <f t="shared" si="5"/>
        <v>0.12000000000114691</v>
      </c>
      <c r="F24" s="13">
        <f t="shared" si="2"/>
        <v>0.88457724668019844</v>
      </c>
      <c r="G24" s="23">
        <f t="shared" si="1"/>
        <v>0.20522455872143833</v>
      </c>
      <c r="H24" s="15">
        <f t="shared" si="3"/>
        <v>0.34821462095419609</v>
      </c>
      <c r="I24" s="23">
        <f t="shared" si="4"/>
        <v>0.14299006223275776</v>
      </c>
    </row>
    <row r="25" spans="1:9" x14ac:dyDescent="0.3">
      <c r="A25" s="17">
        <v>16</v>
      </c>
      <c r="B25" s="13">
        <v>4.1375055114533623</v>
      </c>
      <c r="C25" s="20">
        <v>0.02</v>
      </c>
      <c r="D25" s="14">
        <v>0.6081541029929991</v>
      </c>
      <c r="E25" s="32">
        <f t="shared" si="5"/>
        <v>0.20829106588114615</v>
      </c>
      <c r="F25" s="13">
        <f t="shared" si="2"/>
        <v>0.23480913244032989</v>
      </c>
      <c r="G25" s="23">
        <f t="shared" si="1"/>
        <v>5.0324819058930194E-2</v>
      </c>
      <c r="H25" s="15">
        <f t="shared" si="3"/>
        <v>0.59083635517219879</v>
      </c>
      <c r="I25" s="23">
        <f t="shared" si="4"/>
        <v>0.54051153611326863</v>
      </c>
    </row>
    <row r="26" spans="1:9" x14ac:dyDescent="0.3">
      <c r="A26" s="17">
        <v>17</v>
      </c>
      <c r="B26" s="13">
        <v>5.5516267326831725</v>
      </c>
      <c r="C26" s="20">
        <v>0.94106962699139596</v>
      </c>
      <c r="D26" s="14">
        <v>0.32507606539887124</v>
      </c>
      <c r="E26" s="32">
        <f t="shared" si="5"/>
        <v>0.12</v>
      </c>
      <c r="F26" s="13">
        <f t="shared" si="2"/>
        <v>0.99750886247980042</v>
      </c>
      <c r="G26" s="23">
        <f t="shared" si="1"/>
        <v>1.6983492732084766</v>
      </c>
      <c r="H26" s="15">
        <f t="shared" si="3"/>
        <v>1.8002052165127125</v>
      </c>
      <c r="I26" s="23">
        <f t="shared" si="4"/>
        <v>0.10185594330423586</v>
      </c>
    </row>
    <row r="27" spans="1:9" x14ac:dyDescent="0.3">
      <c r="A27" s="17">
        <v>18</v>
      </c>
      <c r="B27" s="13">
        <v>10.810350799618719</v>
      </c>
      <c r="C27" s="20">
        <v>0.02</v>
      </c>
      <c r="D27" s="14">
        <v>0.57995192638740534</v>
      </c>
      <c r="E27" s="32">
        <f t="shared" si="5"/>
        <v>0.20829106588114615</v>
      </c>
      <c r="F27" s="13">
        <f t="shared" si="2"/>
        <v>0.23480913244032989</v>
      </c>
      <c r="G27" s="23">
        <f t="shared" si="1"/>
        <v>0.12538967542325008</v>
      </c>
      <c r="H27" s="15">
        <f t="shared" si="3"/>
        <v>1.4721320451553952</v>
      </c>
      <c r="I27" s="23">
        <f t="shared" si="4"/>
        <v>1.3467423697321452</v>
      </c>
    </row>
    <row r="28" spans="1:9" x14ac:dyDescent="0.3">
      <c r="A28" s="17">
        <v>19</v>
      </c>
      <c r="B28" s="13">
        <v>2.4392990203854126</v>
      </c>
      <c r="C28" s="20">
        <v>0.46924870667278501</v>
      </c>
      <c r="D28" s="14">
        <v>0.56663508816453678</v>
      </c>
      <c r="E28" s="32">
        <f t="shared" si="5"/>
        <v>0.12000000001550976</v>
      </c>
      <c r="F28" s="13">
        <f t="shared" si="2"/>
        <v>0.85517565545990704</v>
      </c>
      <c r="G28" s="23">
        <f t="shared" si="1"/>
        <v>0.64859200333493139</v>
      </c>
      <c r="H28" s="15">
        <f t="shared" si="3"/>
        <v>1.1820173048761924</v>
      </c>
      <c r="I28" s="23">
        <f t="shared" si="4"/>
        <v>0.533425301541261</v>
      </c>
    </row>
    <row r="29" spans="1:9" x14ac:dyDescent="0.3">
      <c r="A29" s="17">
        <v>20</v>
      </c>
      <c r="B29" s="13">
        <v>2.0337630665658049</v>
      </c>
      <c r="C29" s="20">
        <v>0.04</v>
      </c>
      <c r="D29" s="14">
        <v>0.41513870386821605</v>
      </c>
      <c r="E29" s="32">
        <f t="shared" si="5"/>
        <v>0.15248046797678705</v>
      </c>
      <c r="F29" s="13">
        <f t="shared" si="2"/>
        <v>0.27729311168139481</v>
      </c>
      <c r="G29" s="23">
        <f t="shared" si="1"/>
        <v>3.3771750537167064E-2</v>
      </c>
      <c r="H29" s="15">
        <f t="shared" si="3"/>
        <v>0.23411684483447182</v>
      </c>
      <c r="I29" s="23">
        <f t="shared" si="4"/>
        <v>0.20034509429730474</v>
      </c>
    </row>
    <row r="30" spans="1:9" x14ac:dyDescent="0.3">
      <c r="A30" s="17">
        <v>21</v>
      </c>
      <c r="B30" s="13">
        <v>7.6040831374540989</v>
      </c>
      <c r="C30" s="20">
        <v>0.56647053064628095</v>
      </c>
      <c r="D30" s="14">
        <v>0.30486747389021596</v>
      </c>
      <c r="E30" s="32">
        <f t="shared" si="5"/>
        <v>0.12000000000012007</v>
      </c>
      <c r="F30" s="13">
        <f t="shared" si="2"/>
        <v>0.90651369587428621</v>
      </c>
      <c r="G30" s="23">
        <f t="shared" si="1"/>
        <v>1.3132132932739518</v>
      </c>
      <c r="H30" s="15">
        <f t="shared" si="3"/>
        <v>2.1015141504339945</v>
      </c>
      <c r="I30" s="23">
        <f t="shared" si="4"/>
        <v>0.78830085716004272</v>
      </c>
    </row>
    <row r="31" spans="1:9" x14ac:dyDescent="0.3">
      <c r="A31" s="17">
        <v>22</v>
      </c>
      <c r="B31" s="13">
        <v>1.2042242395827631</v>
      </c>
      <c r="C31" s="20">
        <v>0.03</v>
      </c>
      <c r="D31" s="14">
        <v>0.403886053990132</v>
      </c>
      <c r="E31" s="32">
        <f t="shared" si="5"/>
        <v>0.17355123843562315</v>
      </c>
      <c r="F31" s="13">
        <f t="shared" si="2"/>
        <v>0.25695558349380843</v>
      </c>
      <c r="G31" s="23">
        <f t="shared" si="1"/>
        <v>1.4591081287330486E-2</v>
      </c>
      <c r="H31" s="15">
        <f t="shared" si="3"/>
        <v>0.12497532686638647</v>
      </c>
      <c r="I31" s="23">
        <f t="shared" si="4"/>
        <v>0.11038424557905599</v>
      </c>
    </row>
    <row r="32" spans="1:9" x14ac:dyDescent="0.3">
      <c r="A32" s="17">
        <v>23</v>
      </c>
      <c r="B32" s="13">
        <v>1.9040274624121991</v>
      </c>
      <c r="C32" s="20">
        <v>0.45286354105802701</v>
      </c>
      <c r="D32" s="14">
        <v>0.45547307616928723</v>
      </c>
      <c r="E32" s="32">
        <f t="shared" si="5"/>
        <v>0.12000000003518879</v>
      </c>
      <c r="F32" s="13">
        <f t="shared" si="2"/>
        <v>0.84492260043069722</v>
      </c>
      <c r="G32" s="23">
        <f t="shared" si="1"/>
        <v>0.39273831844219265</v>
      </c>
      <c r="H32" s="15">
        <f t="shared" si="3"/>
        <v>0.73274496889657459</v>
      </c>
      <c r="I32" s="23">
        <f t="shared" si="4"/>
        <v>0.34000665045438194</v>
      </c>
    </row>
    <row r="33" spans="1:9" x14ac:dyDescent="0.3">
      <c r="A33" s="17">
        <v>24</v>
      </c>
      <c r="B33" s="13">
        <v>4.7082329484135581</v>
      </c>
      <c r="C33" s="20">
        <v>0.05</v>
      </c>
      <c r="D33" s="14">
        <v>0.23046413256599207</v>
      </c>
      <c r="E33" s="32">
        <f t="shared" si="5"/>
        <v>0.13970039966973571</v>
      </c>
      <c r="F33" s="13">
        <f t="shared" si="2"/>
        <v>0.29871221804540987</v>
      </c>
      <c r="G33" s="23">
        <f t="shared" si="1"/>
        <v>5.42539411187377E-2</v>
      </c>
      <c r="H33" s="15">
        <f t="shared" si="3"/>
        <v>0.32412630178566409</v>
      </c>
      <c r="I33" s="23">
        <f t="shared" si="4"/>
        <v>0.26987236066692638</v>
      </c>
    </row>
    <row r="34" spans="1:9" x14ac:dyDescent="0.3">
      <c r="A34" s="17">
        <v>25</v>
      </c>
      <c r="B34" s="13">
        <v>7.6602214236586637</v>
      </c>
      <c r="C34" s="20">
        <v>9.3899144175746393E-2</v>
      </c>
      <c r="D34" s="14">
        <v>0.49094368618115669</v>
      </c>
      <c r="E34" s="32">
        <f t="shared" si="5"/>
        <v>0.12219390204601409</v>
      </c>
      <c r="F34" s="13">
        <f t="shared" si="2"/>
        <v>0.40019506678530825</v>
      </c>
      <c r="G34" s="23">
        <f t="shared" si="1"/>
        <v>0.35313001794881732</v>
      </c>
      <c r="H34" s="15">
        <f t="shared" si="3"/>
        <v>1.5050285320217691</v>
      </c>
      <c r="I34" s="23">
        <f t="shared" si="4"/>
        <v>1.1518985140729519</v>
      </c>
    </row>
    <row r="35" spans="1:9" x14ac:dyDescent="0.3">
      <c r="A35" s="17">
        <v>26</v>
      </c>
      <c r="B35" s="13">
        <v>1.4027930630655707</v>
      </c>
      <c r="C35" s="20">
        <v>0.06</v>
      </c>
      <c r="D35" s="14">
        <v>0.25692441508306896</v>
      </c>
      <c r="E35" s="32">
        <f t="shared" si="5"/>
        <v>0.13194889640828733</v>
      </c>
      <c r="F35" s="13">
        <f t="shared" si="2"/>
        <v>0.32134370159232978</v>
      </c>
      <c r="G35" s="23">
        <f t="shared" si="1"/>
        <v>2.1624707232642506E-2</v>
      </c>
      <c r="H35" s="15">
        <f t="shared" si="3"/>
        <v>0.11581605779979615</v>
      </c>
      <c r="I35" s="23">
        <f t="shared" si="4"/>
        <v>9.4191350567153637E-2</v>
      </c>
    </row>
    <row r="36" spans="1:9" x14ac:dyDescent="0.3">
      <c r="A36" s="17">
        <v>27</v>
      </c>
      <c r="B36" s="13">
        <v>8.5456788881981609</v>
      </c>
      <c r="C36" s="20">
        <v>0.38012263574809102</v>
      </c>
      <c r="D36" s="14">
        <v>0.6633103429721009</v>
      </c>
      <c r="E36" s="32">
        <f t="shared" si="5"/>
        <v>0.12000000133645113</v>
      </c>
      <c r="F36" s="13">
        <f t="shared" si="2"/>
        <v>0.79270521093263935</v>
      </c>
      <c r="G36" s="23">
        <f t="shared" si="1"/>
        <v>2.1547012868546873</v>
      </c>
      <c r="H36" s="15">
        <f t="shared" si="3"/>
        <v>4.4933997017344218</v>
      </c>
      <c r="I36" s="23">
        <f t="shared" si="4"/>
        <v>2.3386984148797345</v>
      </c>
    </row>
    <row r="37" spans="1:9" x14ac:dyDescent="0.3">
      <c r="A37" s="17">
        <v>28</v>
      </c>
      <c r="B37" s="13">
        <v>3.8464858734122203</v>
      </c>
      <c r="C37" s="20">
        <v>0.03</v>
      </c>
      <c r="D37" s="14">
        <v>0.24368356601692198</v>
      </c>
      <c r="E37" s="32">
        <f t="shared" si="5"/>
        <v>0.17355123843562315</v>
      </c>
      <c r="F37" s="13">
        <f t="shared" si="2"/>
        <v>0.25695558349380843</v>
      </c>
      <c r="G37" s="23">
        <f t="shared" si="1"/>
        <v>2.8119761828004138E-2</v>
      </c>
      <c r="H37" s="15">
        <f t="shared" si="3"/>
        <v>0.24085099360739082</v>
      </c>
      <c r="I37" s="23">
        <f t="shared" si="4"/>
        <v>0.21273123177938669</v>
      </c>
    </row>
    <row r="38" spans="1:9" x14ac:dyDescent="0.3">
      <c r="A38" s="17">
        <v>29</v>
      </c>
      <c r="B38" s="13">
        <v>8.1231984726683866</v>
      </c>
      <c r="C38" s="20">
        <v>0.43927829033307098</v>
      </c>
      <c r="D38" s="14">
        <v>0.56505132067971264</v>
      </c>
      <c r="E38" s="32">
        <f t="shared" si="5"/>
        <v>0.12000000006940717</v>
      </c>
      <c r="F38" s="13">
        <f t="shared" si="2"/>
        <v>0.83602696461583959</v>
      </c>
      <c r="G38" s="23">
        <f t="shared" si="1"/>
        <v>2.0162979063444975</v>
      </c>
      <c r="H38" s="15">
        <f t="shared" si="3"/>
        <v>3.8373838532387783</v>
      </c>
      <c r="I38" s="23">
        <f t="shared" si="4"/>
        <v>1.8210859468942808</v>
      </c>
    </row>
    <row r="39" spans="1:9" x14ac:dyDescent="0.3">
      <c r="A39" s="17">
        <v>30</v>
      </c>
      <c r="B39" s="13">
        <v>4.6802302020514697</v>
      </c>
      <c r="C39" s="20">
        <v>0.06</v>
      </c>
      <c r="D39" s="14">
        <v>0.4722905932909065</v>
      </c>
      <c r="E39" s="32">
        <f t="shared" si="5"/>
        <v>0.13194889640828733</v>
      </c>
      <c r="F39" s="13">
        <f t="shared" si="2"/>
        <v>0.32134370159232978</v>
      </c>
      <c r="G39" s="23">
        <f t="shared" si="1"/>
        <v>0.13262572193189445</v>
      </c>
      <c r="H39" s="15">
        <f t="shared" si="3"/>
        <v>0.71030734019916675</v>
      </c>
      <c r="I39" s="23">
        <f t="shared" si="4"/>
        <v>0.57768161826727227</v>
      </c>
    </row>
    <row r="40" spans="1:9" x14ac:dyDescent="0.3">
      <c r="A40" s="17">
        <v>31</v>
      </c>
      <c r="B40" s="13">
        <v>10.869400565290459</v>
      </c>
      <c r="C40" s="20">
        <v>0.18316606165497101</v>
      </c>
      <c r="D40" s="14">
        <v>0.63461637672113402</v>
      </c>
      <c r="E40" s="32">
        <f t="shared" si="5"/>
        <v>0.12002528196054753</v>
      </c>
      <c r="F40" s="13">
        <f t="shared" si="2"/>
        <v>0.57074695455915558</v>
      </c>
      <c r="G40" s="23">
        <f t="shared" si="1"/>
        <v>1.2634611041332191</v>
      </c>
      <c r="H40" s="15">
        <f t="shared" si="3"/>
        <v>3.9369551917666201</v>
      </c>
      <c r="I40" s="23">
        <f t="shared" si="4"/>
        <v>2.6734940876334008</v>
      </c>
    </row>
    <row r="41" spans="1:9" x14ac:dyDescent="0.3">
      <c r="A41" s="17">
        <v>32</v>
      </c>
      <c r="B41" s="13">
        <v>3.9146664010255066</v>
      </c>
      <c r="C41" s="20">
        <v>0.05</v>
      </c>
      <c r="D41" s="14">
        <v>0.26427613870425681</v>
      </c>
      <c r="E41" s="32">
        <f t="shared" si="5"/>
        <v>0.13970039966973571</v>
      </c>
      <c r="F41" s="13">
        <f t="shared" si="2"/>
        <v>0.29871221804540987</v>
      </c>
      <c r="G41" s="23">
        <f t="shared" si="1"/>
        <v>5.1727646038915533E-2</v>
      </c>
      <c r="H41" s="15">
        <f t="shared" si="3"/>
        <v>0.30903359765104638</v>
      </c>
      <c r="I41" s="23">
        <f t="shared" si="4"/>
        <v>0.25730595161213082</v>
      </c>
    </row>
    <row r="42" spans="1:9" x14ac:dyDescent="0.3">
      <c r="A42" s="17">
        <v>33</v>
      </c>
      <c r="B42" s="13">
        <v>4.5075024080426545</v>
      </c>
      <c r="C42" s="20">
        <v>0.26703242715990999</v>
      </c>
      <c r="D42" s="14">
        <v>0.62262389971490506</v>
      </c>
      <c r="E42" s="32">
        <f t="shared" si="5"/>
        <v>0.12000038165922271</v>
      </c>
      <c r="F42" s="13">
        <f t="shared" ref="F42:F73" si="6">_xlfn.NORM.S.DIST((_xlfn.NORM.S.INV(C42)+(SQRT(E42)*_xlfn.NORM.S.INV($F$1)))/SQRT(1-E42),TRUE)</f>
        <v>0.68377843772358327</v>
      </c>
      <c r="G42" s="23">
        <f t="shared" ref="G42:G73" si="7">+B42*C42*D42</f>
        <v>0.74942082631552109</v>
      </c>
      <c r="H42" s="15">
        <f t="shared" si="3"/>
        <v>1.9190096396370435</v>
      </c>
      <c r="I42" s="23">
        <f t="shared" si="4"/>
        <v>1.1695888133215224</v>
      </c>
    </row>
    <row r="43" spans="1:9" x14ac:dyDescent="0.3">
      <c r="A43" s="17">
        <v>34</v>
      </c>
      <c r="B43" s="13">
        <v>5.9805708989118322</v>
      </c>
      <c r="C43" s="20">
        <v>0.01</v>
      </c>
      <c r="D43" s="14">
        <v>0.68983689975407003</v>
      </c>
      <c r="E43" s="32">
        <f t="shared" si="5"/>
        <v>0.26556735833103201</v>
      </c>
      <c r="F43" s="13">
        <f t="shared" si="6"/>
        <v>0.19591254688356038</v>
      </c>
      <c r="G43" s="23">
        <f t="shared" si="7"/>
        <v>4.1256184876647499E-2</v>
      </c>
      <c r="H43" s="15">
        <f t="shared" si="3"/>
        <v>0.80826042538830389</v>
      </c>
      <c r="I43" s="23">
        <f t="shared" si="4"/>
        <v>0.76700424051165639</v>
      </c>
    </row>
    <row r="44" spans="1:9" x14ac:dyDescent="0.3">
      <c r="A44" s="17">
        <v>35</v>
      </c>
      <c r="B44" s="13">
        <v>7.1054239339434009</v>
      </c>
      <c r="C44" s="20">
        <v>0.22852594695780201</v>
      </c>
      <c r="D44" s="14">
        <v>0.5300793531943534</v>
      </c>
      <c r="E44" s="32">
        <f t="shared" si="5"/>
        <v>0.12000261717856632</v>
      </c>
      <c r="F44" s="13">
        <f t="shared" si="6"/>
        <v>0.63621480508678618</v>
      </c>
      <c r="G44" s="23">
        <f t="shared" si="7"/>
        <v>0.86072893014437857</v>
      </c>
      <c r="H44" s="15">
        <f t="shared" si="3"/>
        <v>2.396263950830412</v>
      </c>
      <c r="I44" s="23">
        <f t="shared" si="4"/>
        <v>1.5355350206860334</v>
      </c>
    </row>
    <row r="45" spans="1:9" x14ac:dyDescent="0.3">
      <c r="A45" s="17">
        <v>36</v>
      </c>
      <c r="B45" s="13">
        <v>9.300905112553421</v>
      </c>
      <c r="C45" s="20">
        <v>0.05</v>
      </c>
      <c r="D45" s="14">
        <v>0.59785757576352738</v>
      </c>
      <c r="E45" s="32">
        <f t="shared" si="5"/>
        <v>0.13970039966973571</v>
      </c>
      <c r="F45" s="13">
        <f t="shared" si="6"/>
        <v>0.29871221804540987</v>
      </c>
      <c r="G45" s="23">
        <f t="shared" si="7"/>
        <v>0.2780308291498893</v>
      </c>
      <c r="H45" s="15">
        <f t="shared" si="3"/>
        <v>1.6610241132073567</v>
      </c>
      <c r="I45" s="23">
        <f t="shared" si="4"/>
        <v>1.3829932840574672</v>
      </c>
    </row>
    <row r="46" spans="1:9" x14ac:dyDescent="0.3">
      <c r="A46" s="17">
        <v>37</v>
      </c>
      <c r="B46" s="13">
        <v>2.3490249279405497</v>
      </c>
      <c r="C46" s="20">
        <v>0.579192326735532</v>
      </c>
      <c r="D46" s="14">
        <v>0.23975885554750409</v>
      </c>
      <c r="E46" s="32">
        <f t="shared" si="5"/>
        <v>0.12000000000006356</v>
      </c>
      <c r="F46" s="13">
        <f t="shared" si="6"/>
        <v>0.91215748070145941</v>
      </c>
      <c r="G46" s="23">
        <f t="shared" si="7"/>
        <v>0.32620084525620907</v>
      </c>
      <c r="H46" s="15">
        <f t="shared" si="3"/>
        <v>0.51372666293532321</v>
      </c>
      <c r="I46" s="23">
        <f t="shared" si="4"/>
        <v>0.18752581767911414</v>
      </c>
    </row>
    <row r="47" spans="1:9" x14ac:dyDescent="0.3">
      <c r="A47" s="17">
        <v>38</v>
      </c>
      <c r="B47" s="13">
        <v>8.7384925209793689</v>
      </c>
      <c r="C47" s="20">
        <v>0.05</v>
      </c>
      <c r="D47" s="14">
        <v>0.59498578725052254</v>
      </c>
      <c r="E47" s="32">
        <f t="shared" si="5"/>
        <v>0.13970039966973571</v>
      </c>
      <c r="F47" s="13">
        <f t="shared" si="6"/>
        <v>0.29871221804540987</v>
      </c>
      <c r="G47" s="23">
        <f t="shared" si="7"/>
        <v>0.25996394259888567</v>
      </c>
      <c r="H47" s="15">
        <f t="shared" si="3"/>
        <v>1.5530881181108549</v>
      </c>
      <c r="I47" s="23">
        <f t="shared" si="4"/>
        <v>1.2931241755119691</v>
      </c>
    </row>
    <row r="48" spans="1:9" x14ac:dyDescent="0.3">
      <c r="A48" s="17">
        <v>39</v>
      </c>
      <c r="B48" s="13">
        <v>9.8772310935891028</v>
      </c>
      <c r="C48" s="20">
        <v>0.36859253356946098</v>
      </c>
      <c r="D48" s="14">
        <v>0.60117178113189695</v>
      </c>
      <c r="E48" s="32">
        <f t="shared" si="5"/>
        <v>0.1200000023786255</v>
      </c>
      <c r="F48" s="13">
        <f t="shared" si="6"/>
        <v>0.78330705525286048</v>
      </c>
      <c r="G48" s="23">
        <f t="shared" si="7"/>
        <v>2.1886702527332953</v>
      </c>
      <c r="H48" s="15">
        <f t="shared" si="3"/>
        <v>4.6512088402489953</v>
      </c>
      <c r="I48" s="23">
        <f t="shared" si="4"/>
        <v>2.4625385875157</v>
      </c>
    </row>
    <row r="49" spans="1:9" x14ac:dyDescent="0.3">
      <c r="A49" s="17">
        <v>40</v>
      </c>
      <c r="B49" s="13">
        <v>9.3966024763096989</v>
      </c>
      <c r="C49" s="20">
        <v>0.04</v>
      </c>
      <c r="D49" s="14">
        <v>0.64678015251833931</v>
      </c>
      <c r="E49" s="32">
        <f t="shared" si="5"/>
        <v>0.15248046797678705</v>
      </c>
      <c r="F49" s="13">
        <f t="shared" si="6"/>
        <v>0.27729311168139481</v>
      </c>
      <c r="G49" s="23">
        <f t="shared" si="7"/>
        <v>0.24310143931127171</v>
      </c>
      <c r="H49" s="15">
        <f t="shared" si="3"/>
        <v>1.6852588640212069</v>
      </c>
      <c r="I49" s="23">
        <f t="shared" si="4"/>
        <v>1.4421574247099351</v>
      </c>
    </row>
    <row r="50" spans="1:9" x14ac:dyDescent="0.3">
      <c r="A50" s="17">
        <v>41</v>
      </c>
      <c r="B50" s="13">
        <v>8.6976848888820086</v>
      </c>
      <c r="C50" s="20">
        <v>0.80103763480340595</v>
      </c>
      <c r="D50" s="14">
        <v>0.29802319506158736</v>
      </c>
      <c r="E50" s="32">
        <f t="shared" si="5"/>
        <v>0.12</v>
      </c>
      <c r="F50" s="13">
        <f t="shared" si="6"/>
        <v>0.97943773661132205</v>
      </c>
      <c r="G50" s="23">
        <f t="shared" si="7"/>
        <v>2.0763791376385394</v>
      </c>
      <c r="H50" s="15">
        <f t="shared" si="3"/>
        <v>2.5388121538319171</v>
      </c>
      <c r="I50" s="23">
        <f t="shared" si="4"/>
        <v>0.46243301619337762</v>
      </c>
    </row>
    <row r="51" spans="1:9" x14ac:dyDescent="0.3">
      <c r="A51" s="17">
        <v>42</v>
      </c>
      <c r="B51" s="13">
        <v>8.9204542415548627</v>
      </c>
      <c r="C51" s="20">
        <v>0.01</v>
      </c>
      <c r="D51" s="14">
        <v>0.27041723174687338</v>
      </c>
      <c r="E51" s="32">
        <f t="shared" si="5"/>
        <v>0.26556735833103201</v>
      </c>
      <c r="F51" s="13">
        <f t="shared" si="6"/>
        <v>0.19591254688356038</v>
      </c>
      <c r="G51" s="23">
        <f t="shared" si="7"/>
        <v>2.412244541925921E-2</v>
      </c>
      <c r="H51" s="15">
        <f t="shared" si="3"/>
        <v>0.47258897191467458</v>
      </c>
      <c r="I51" s="23">
        <f t="shared" si="4"/>
        <v>0.44846652649541535</v>
      </c>
    </row>
    <row r="52" spans="1:9" x14ac:dyDescent="0.3">
      <c r="A52" s="17">
        <v>43</v>
      </c>
      <c r="B52" s="13">
        <v>6.6109332185481611</v>
      </c>
      <c r="C52" s="20">
        <v>0.78867677755910004</v>
      </c>
      <c r="D52" s="14">
        <v>0.46055551204184697</v>
      </c>
      <c r="E52" s="32">
        <f t="shared" si="5"/>
        <v>0.12</v>
      </c>
      <c r="F52" s="13">
        <f t="shared" si="6"/>
        <v>0.97702794993166764</v>
      </c>
      <c r="G52" s="23">
        <f t="shared" si="7"/>
        <v>2.4012855518392229</v>
      </c>
      <c r="H52" s="15">
        <f t="shared" si="3"/>
        <v>2.9747586928768182</v>
      </c>
      <c r="I52" s="23">
        <f t="shared" si="4"/>
        <v>0.57347314103759528</v>
      </c>
    </row>
    <row r="53" spans="1:9" x14ac:dyDescent="0.3">
      <c r="A53" s="17">
        <v>44</v>
      </c>
      <c r="B53" s="13">
        <v>1.2550974996021949</v>
      </c>
      <c r="C53" s="20">
        <v>0.04</v>
      </c>
      <c r="D53" s="14">
        <v>0.63229804231588249</v>
      </c>
      <c r="E53" s="32">
        <f t="shared" si="5"/>
        <v>0.15248046797678705</v>
      </c>
      <c r="F53" s="13">
        <f t="shared" si="6"/>
        <v>0.27729311168139481</v>
      </c>
      <c r="G53" s="23">
        <f t="shared" si="7"/>
        <v>3.1743827676561073E-2</v>
      </c>
      <c r="H53" s="15">
        <f t="shared" si="3"/>
        <v>0.22005861882779004</v>
      </c>
      <c r="I53" s="23">
        <f t="shared" si="4"/>
        <v>0.18831479115122896</v>
      </c>
    </row>
    <row r="54" spans="1:9" x14ac:dyDescent="0.3">
      <c r="A54" s="17">
        <v>45</v>
      </c>
      <c r="B54" s="13">
        <v>3.6993869665247816</v>
      </c>
      <c r="C54" s="20">
        <v>0.66939499720880702</v>
      </c>
      <c r="D54" s="14">
        <v>0.28290816055339119</v>
      </c>
      <c r="E54" s="32">
        <f t="shared" si="5"/>
        <v>0.12000000000000069</v>
      </c>
      <c r="F54" s="13">
        <f t="shared" si="6"/>
        <v>0.94611664607703694</v>
      </c>
      <c r="G54" s="23">
        <f t="shared" si="7"/>
        <v>0.70057994254389977</v>
      </c>
      <c r="H54" s="15">
        <f t="shared" si="3"/>
        <v>0.9901931569735325</v>
      </c>
      <c r="I54" s="23">
        <f t="shared" si="4"/>
        <v>0.28961321442963273</v>
      </c>
    </row>
    <row r="55" spans="1:9" x14ac:dyDescent="0.3">
      <c r="A55" s="17">
        <v>46</v>
      </c>
      <c r="B55" s="13">
        <v>4.8315484401644753</v>
      </c>
      <c r="C55" s="20">
        <v>0.04</v>
      </c>
      <c r="D55" s="14">
        <v>0.44450404250639997</v>
      </c>
      <c r="E55" s="32">
        <f t="shared" si="5"/>
        <v>0.15248046797678705</v>
      </c>
      <c r="F55" s="13">
        <f t="shared" si="6"/>
        <v>0.27729311168139481</v>
      </c>
      <c r="G55" s="23">
        <f t="shared" si="7"/>
        <v>8.5905712528744016E-2</v>
      </c>
      <c r="H55" s="15">
        <f t="shared" si="3"/>
        <v>0.5955265584575703</v>
      </c>
      <c r="I55" s="23">
        <f t="shared" si="4"/>
        <v>0.50962084592882628</v>
      </c>
    </row>
    <row r="56" spans="1:9" x14ac:dyDescent="0.3">
      <c r="A56" s="17">
        <v>47</v>
      </c>
      <c r="B56" s="13">
        <v>4.9206383359559558</v>
      </c>
      <c r="C56" s="20">
        <v>0.72873856853365104</v>
      </c>
      <c r="D56" s="14">
        <v>0.31914538221676392</v>
      </c>
      <c r="E56" s="32">
        <f t="shared" si="5"/>
        <v>0.12000000000000004</v>
      </c>
      <c r="F56" s="13">
        <f t="shared" si="6"/>
        <v>0.96330057584887019</v>
      </c>
      <c r="G56" s="23">
        <f t="shared" si="7"/>
        <v>1.1444103210933108</v>
      </c>
      <c r="H56" s="15">
        <f t="shared" si="3"/>
        <v>1.512766263400632</v>
      </c>
      <c r="I56" s="23">
        <f t="shared" si="4"/>
        <v>0.36835594230732127</v>
      </c>
    </row>
    <row r="57" spans="1:9" x14ac:dyDescent="0.3">
      <c r="A57" s="17">
        <v>48</v>
      </c>
      <c r="B57" s="13">
        <v>8.0516670143246962</v>
      </c>
      <c r="C57" s="20">
        <v>0.04</v>
      </c>
      <c r="D57" s="14">
        <v>0.29875486333017853</v>
      </c>
      <c r="E57" s="32">
        <f t="shared" si="5"/>
        <v>0.15248046797678705</v>
      </c>
      <c r="F57" s="13">
        <f t="shared" si="6"/>
        <v>0.27729311168139481</v>
      </c>
      <c r="G57" s="23">
        <f t="shared" si="7"/>
        <v>9.621898713778726E-2</v>
      </c>
      <c r="H57" s="15">
        <f t="shared" si="3"/>
        <v>0.6670215586567283</v>
      </c>
      <c r="I57" s="23">
        <f t="shared" si="4"/>
        <v>0.57080257151894109</v>
      </c>
    </row>
    <row r="58" spans="1:9" x14ac:dyDescent="0.3">
      <c r="A58" s="17">
        <v>49</v>
      </c>
      <c r="B58" s="13">
        <v>6.9514260211182624</v>
      </c>
      <c r="C58" s="20">
        <v>0.32642229269628198</v>
      </c>
      <c r="D58" s="14">
        <v>0.68617424011340833</v>
      </c>
      <c r="E58" s="32">
        <f t="shared" si="5"/>
        <v>0.12000001959030589</v>
      </c>
      <c r="F58" s="13">
        <f t="shared" si="6"/>
        <v>0.74589924325051049</v>
      </c>
      <c r="G58" s="23">
        <f t="shared" si="7"/>
        <v>1.5569982559693005</v>
      </c>
      <c r="H58" s="15">
        <f t="shared" si="3"/>
        <v>3.5578569443798722</v>
      </c>
      <c r="I58" s="23">
        <f t="shared" si="4"/>
        <v>2.0008586884105717</v>
      </c>
    </row>
    <row r="59" spans="1:9" x14ac:dyDescent="0.3">
      <c r="A59" s="17">
        <v>50</v>
      </c>
      <c r="B59" s="13">
        <v>8.3901456324162869</v>
      </c>
      <c r="C59" s="20">
        <v>0.06</v>
      </c>
      <c r="D59" s="14">
        <v>0.47821276883639796</v>
      </c>
      <c r="E59" s="32">
        <f t="shared" si="5"/>
        <v>0.13194889640828733</v>
      </c>
      <c r="F59" s="13">
        <f t="shared" si="6"/>
        <v>0.32134370159232978</v>
      </c>
      <c r="G59" s="23">
        <f t="shared" si="7"/>
        <v>0.24073648642910422</v>
      </c>
      <c r="H59" s="15">
        <f t="shared" si="3"/>
        <v>1.2893192276243337</v>
      </c>
      <c r="I59" s="23">
        <f t="shared" si="4"/>
        <v>1.0485827411952295</v>
      </c>
    </row>
    <row r="60" spans="1:9" x14ac:dyDescent="0.3">
      <c r="A60" s="17">
        <v>51</v>
      </c>
      <c r="B60" s="13">
        <v>3.5906797538514317</v>
      </c>
      <c r="C60" s="20">
        <v>0.67647676384157096</v>
      </c>
      <c r="D60" s="14">
        <v>0.37728556210490194</v>
      </c>
      <c r="E60" s="32">
        <f t="shared" si="5"/>
        <v>0.12000000000000048</v>
      </c>
      <c r="F60" s="13">
        <f t="shared" si="6"/>
        <v>0.94836825719071094</v>
      </c>
      <c r="G60" s="23">
        <f t="shared" si="7"/>
        <v>0.91643093890746907</v>
      </c>
      <c r="H60" s="15">
        <f t="shared" si="3"/>
        <v>1.2847655068472794</v>
      </c>
      <c r="I60" s="23">
        <f t="shared" si="4"/>
        <v>0.36833456793981034</v>
      </c>
    </row>
    <row r="61" spans="1:9" x14ac:dyDescent="0.3">
      <c r="A61" s="17">
        <v>52</v>
      </c>
      <c r="B61" s="13">
        <v>8.5378732197979161</v>
      </c>
      <c r="C61" s="20">
        <v>0.03</v>
      </c>
      <c r="D61" s="14">
        <v>0.61104187246048813</v>
      </c>
      <c r="E61" s="32">
        <f t="shared" si="5"/>
        <v>0.17355123843562315</v>
      </c>
      <c r="F61" s="13">
        <f t="shared" si="6"/>
        <v>0.25695558349380843</v>
      </c>
      <c r="G61" s="23">
        <f t="shared" si="7"/>
        <v>0.15650994117166728</v>
      </c>
      <c r="H61" s="15">
        <f t="shared" si="3"/>
        <v>1.3405367752115798</v>
      </c>
      <c r="I61" s="23">
        <f t="shared" si="4"/>
        <v>1.1840268340399125</v>
      </c>
    </row>
    <row r="62" spans="1:9" x14ac:dyDescent="0.3">
      <c r="A62" s="17">
        <v>53</v>
      </c>
      <c r="B62" s="13">
        <v>2.9856840834995526</v>
      </c>
      <c r="C62" s="20">
        <v>0.32149956104765698</v>
      </c>
      <c r="D62" s="14">
        <v>0.24488742906452443</v>
      </c>
      <c r="E62" s="32">
        <f t="shared" si="5"/>
        <v>0.12000002505745602</v>
      </c>
      <c r="F62" s="13">
        <f t="shared" si="6"/>
        <v>0.74119733490881123</v>
      </c>
      <c r="G62" s="23">
        <f t="shared" si="7"/>
        <v>0.23506649355221659</v>
      </c>
      <c r="H62" s="15">
        <f t="shared" si="3"/>
        <v>0.54193124861354125</v>
      </c>
      <c r="I62" s="23">
        <f t="shared" si="4"/>
        <v>0.30686475506132466</v>
      </c>
    </row>
    <row r="63" spans="1:9" x14ac:dyDescent="0.3">
      <c r="A63" s="17">
        <v>54</v>
      </c>
      <c r="B63" s="13">
        <v>8.2342757175777361</v>
      </c>
      <c r="C63" s="20">
        <v>0.03</v>
      </c>
      <c r="D63" s="14">
        <v>0.25464974174436694</v>
      </c>
      <c r="E63" s="32">
        <f t="shared" si="5"/>
        <v>0.17355123843562315</v>
      </c>
      <c r="F63" s="13">
        <f t="shared" si="6"/>
        <v>0.25695558349380843</v>
      </c>
      <c r="G63" s="23">
        <f t="shared" si="7"/>
        <v>6.2905685547992474E-2</v>
      </c>
      <c r="H63" s="15">
        <f t="shared" si="3"/>
        <v>0.53879890450208123</v>
      </c>
      <c r="I63" s="23">
        <f t="shared" si="4"/>
        <v>0.47589321895408876</v>
      </c>
    </row>
    <row r="64" spans="1:9" x14ac:dyDescent="0.3">
      <c r="A64" s="17">
        <v>55</v>
      </c>
      <c r="B64" s="13">
        <v>1.088466378198353</v>
      </c>
      <c r="C64" s="20">
        <v>0.54498050879366799</v>
      </c>
      <c r="D64" s="14">
        <v>0.30861886504360347</v>
      </c>
      <c r="E64" s="32">
        <f t="shared" si="5"/>
        <v>0.12000000000035164</v>
      </c>
      <c r="F64" s="13">
        <f t="shared" si="6"/>
        <v>0.89645199817739007</v>
      </c>
      <c r="G64" s="23">
        <f t="shared" si="7"/>
        <v>0.18307053825078864</v>
      </c>
      <c r="H64" s="15">
        <f t="shared" si="3"/>
        <v>0.30113728321330496</v>
      </c>
      <c r="I64" s="23">
        <f t="shared" si="4"/>
        <v>0.11806674496251632</v>
      </c>
    </row>
    <row r="65" spans="1:9" x14ac:dyDescent="0.3">
      <c r="A65" s="17">
        <v>56</v>
      </c>
      <c r="B65" s="13">
        <v>8.1622363044850736</v>
      </c>
      <c r="C65" s="20">
        <v>0.05</v>
      </c>
      <c r="D65" s="14">
        <v>0.34290007437103986</v>
      </c>
      <c r="E65" s="32">
        <f t="shared" si="5"/>
        <v>0.13970039966973571</v>
      </c>
      <c r="F65" s="13">
        <f t="shared" si="6"/>
        <v>0.29871221804540987</v>
      </c>
      <c r="G65" s="23">
        <f t="shared" si="7"/>
        <v>0.13994157179209668</v>
      </c>
      <c r="H65" s="15">
        <f t="shared" si="3"/>
        <v>0.83604514613556324</v>
      </c>
      <c r="I65" s="23">
        <f t="shared" si="4"/>
        <v>0.69610357434346659</v>
      </c>
    </row>
    <row r="66" spans="1:9" x14ac:dyDescent="0.3">
      <c r="A66" s="17">
        <v>57</v>
      </c>
      <c r="B66" s="13">
        <v>2.2122162163148911</v>
      </c>
      <c r="C66" s="20">
        <v>9.0880976786554806E-3</v>
      </c>
      <c r="D66" s="14">
        <v>0.33976200731732742</v>
      </c>
      <c r="E66" s="32">
        <f t="shared" si="5"/>
        <v>0.27235815611978481</v>
      </c>
      <c r="F66" s="13">
        <f t="shared" si="6"/>
        <v>0.1898670692424263</v>
      </c>
      <c r="G66" s="23">
        <f t="shared" si="7"/>
        <v>6.83085979635298E-3</v>
      </c>
      <c r="H66" s="15">
        <f t="shared" si="3"/>
        <v>0.14270921988278329</v>
      </c>
      <c r="I66" s="23">
        <f t="shared" si="4"/>
        <v>0.13587836008643031</v>
      </c>
    </row>
    <row r="67" spans="1:9" x14ac:dyDescent="0.3">
      <c r="A67" s="17">
        <v>58</v>
      </c>
      <c r="B67" s="13">
        <v>9.6913262885539115</v>
      </c>
      <c r="C67" s="20">
        <v>0.04</v>
      </c>
      <c r="D67" s="14">
        <v>0.3213960702055253</v>
      </c>
      <c r="E67" s="32">
        <f t="shared" si="5"/>
        <v>0.15248046797678705</v>
      </c>
      <c r="F67" s="13">
        <f t="shared" si="6"/>
        <v>0.27729311168139481</v>
      </c>
      <c r="G67" s="23">
        <f t="shared" si="7"/>
        <v>0.12459016736882904</v>
      </c>
      <c r="H67" s="15">
        <f t="shared" si="3"/>
        <v>0.86369987986520957</v>
      </c>
      <c r="I67" s="23">
        <f t="shared" si="4"/>
        <v>0.73910971249638058</v>
      </c>
    </row>
    <row r="68" spans="1:9" x14ac:dyDescent="0.3">
      <c r="A68" s="17">
        <v>59</v>
      </c>
      <c r="B68" s="13">
        <v>8.0233677127741974</v>
      </c>
      <c r="C68" s="20">
        <v>0.78430853921666699</v>
      </c>
      <c r="D68" s="14">
        <v>0.4221139839134509</v>
      </c>
      <c r="E68" s="32">
        <f t="shared" si="5"/>
        <v>0.12</v>
      </c>
      <c r="F68" s="13">
        <f t="shared" si="6"/>
        <v>0.97614288170559771</v>
      </c>
      <c r="G68" s="23">
        <f t="shared" si="7"/>
        <v>2.6562771094835478</v>
      </c>
      <c r="H68" s="15">
        <f t="shared" si="3"/>
        <v>3.3059770009001395</v>
      </c>
      <c r="I68" s="23">
        <f t="shared" si="4"/>
        <v>0.64969989141659168</v>
      </c>
    </row>
    <row r="69" spans="1:9" x14ac:dyDescent="0.3">
      <c r="A69" s="17">
        <v>60</v>
      </c>
      <c r="B69" s="13">
        <v>2.3189503091178958</v>
      </c>
      <c r="C69" s="20">
        <v>0.01</v>
      </c>
      <c r="D69" s="14">
        <v>0.2117527587759801</v>
      </c>
      <c r="E69" s="32">
        <f t="shared" si="5"/>
        <v>0.26556735833103201</v>
      </c>
      <c r="F69" s="13">
        <f t="shared" si="6"/>
        <v>0.19591254688356038</v>
      </c>
      <c r="G69" s="23">
        <f t="shared" si="7"/>
        <v>4.9104412542012622E-3</v>
      </c>
      <c r="H69" s="15">
        <f t="shared" si="3"/>
        <v>9.6201705243267391E-2</v>
      </c>
      <c r="I69" s="23">
        <f t="shared" si="4"/>
        <v>9.1291263989066132E-2</v>
      </c>
    </row>
    <row r="70" spans="1:9" x14ac:dyDescent="0.3">
      <c r="A70" s="17">
        <v>61</v>
      </c>
      <c r="B70" s="13">
        <v>6.1665311912174747</v>
      </c>
      <c r="C70" s="20">
        <v>0.88556459978733104</v>
      </c>
      <c r="D70" s="14">
        <v>0.68773675939844758</v>
      </c>
      <c r="E70" s="32">
        <f t="shared" si="5"/>
        <v>0.12</v>
      </c>
      <c r="F70" s="13">
        <f t="shared" si="6"/>
        <v>0.99232125031119045</v>
      </c>
      <c r="G70" s="23">
        <f t="shared" si="7"/>
        <v>3.7556353472556392</v>
      </c>
      <c r="H70" s="15">
        <f t="shared" si="3"/>
        <v>4.2083849833164182</v>
      </c>
      <c r="I70" s="23">
        <f t="shared" si="4"/>
        <v>0.452749636060779</v>
      </c>
    </row>
    <row r="71" spans="1:9" x14ac:dyDescent="0.3">
      <c r="A71" s="17">
        <v>62</v>
      </c>
      <c r="B71" s="13">
        <v>4.1569754396347722</v>
      </c>
      <c r="C71" s="20">
        <v>0.02</v>
      </c>
      <c r="D71" s="14">
        <v>0.39674587505405601</v>
      </c>
      <c r="E71" s="32">
        <f t="shared" si="5"/>
        <v>0.20829106588114615</v>
      </c>
      <c r="F71" s="13">
        <f t="shared" si="6"/>
        <v>0.23480913244032989</v>
      </c>
      <c r="G71" s="23">
        <f t="shared" si="7"/>
        <v>3.298525716752234E-2</v>
      </c>
      <c r="H71" s="15">
        <f t="shared" si="3"/>
        <v>0.38726198094135467</v>
      </c>
      <c r="I71" s="23">
        <f t="shared" si="4"/>
        <v>0.35427672377383235</v>
      </c>
    </row>
    <row r="72" spans="1:9" x14ac:dyDescent="0.3">
      <c r="A72" s="17">
        <v>63</v>
      </c>
      <c r="B72" s="13">
        <v>10.268248883815462</v>
      </c>
      <c r="C72" s="20">
        <v>0.12512140846733999</v>
      </c>
      <c r="D72" s="14">
        <v>0.42137740161448733</v>
      </c>
      <c r="E72" s="32">
        <f t="shared" si="5"/>
        <v>0.12046050503018951</v>
      </c>
      <c r="F72" s="13">
        <f t="shared" si="6"/>
        <v>0.46718888604883618</v>
      </c>
      <c r="G72" s="23">
        <f t="shared" si="7"/>
        <v>0.54137631535598452</v>
      </c>
      <c r="H72" s="15">
        <f t="shared" si="3"/>
        <v>2.0214366254549159</v>
      </c>
      <c r="I72" s="23">
        <f t="shared" si="4"/>
        <v>1.4800603100989314</v>
      </c>
    </row>
    <row r="73" spans="1:9" x14ac:dyDescent="0.3">
      <c r="A73" s="17">
        <v>64</v>
      </c>
      <c r="B73" s="13">
        <v>10.673199998652498</v>
      </c>
      <c r="C73" s="20">
        <v>0.02</v>
      </c>
      <c r="D73" s="14">
        <v>0.29064867434225439</v>
      </c>
      <c r="E73" s="32">
        <f t="shared" si="5"/>
        <v>0.20829106588114615</v>
      </c>
      <c r="F73" s="13">
        <f t="shared" si="6"/>
        <v>0.23480913244032989</v>
      </c>
      <c r="G73" s="23">
        <f t="shared" si="7"/>
        <v>6.2043028611961995E-2</v>
      </c>
      <c r="H73" s="15">
        <f t="shared" si="3"/>
        <v>0.72841348611726797</v>
      </c>
      <c r="I73" s="23">
        <f t="shared" si="4"/>
        <v>0.66637045750530599</v>
      </c>
    </row>
    <row r="74" spans="1:9" x14ac:dyDescent="0.3">
      <c r="A74" s="17">
        <v>65</v>
      </c>
      <c r="B74" s="13">
        <v>1.3826549331444318</v>
      </c>
      <c r="C74" s="20">
        <v>0.94652217262334104</v>
      </c>
      <c r="D74" s="14">
        <v>0.54348701272375433</v>
      </c>
      <c r="E74" s="32">
        <f t="shared" si="5"/>
        <v>0.12</v>
      </c>
      <c r="F74" s="13">
        <f t="shared" ref="F74:F105" si="8">_xlfn.NORM.S.DIST((_xlfn.NORM.S.INV(C74)+(SQRT(E74)*_xlfn.NORM.S.INV($F$1)))/SQRT(1-E74),TRUE)</f>
        <v>0.99787893759629365</v>
      </c>
      <c r="G74" s="23">
        <f t="shared" ref="G74:G109" si="9">+B74*C74*D74</f>
        <v>0.7112688185116155</v>
      </c>
      <c r="H74" s="15">
        <f t="shared" si="3"/>
        <v>0.74986111629545915</v>
      </c>
      <c r="I74" s="23">
        <f t="shared" si="4"/>
        <v>3.8592297783843654E-2</v>
      </c>
    </row>
    <row r="75" spans="1:9" x14ac:dyDescent="0.3">
      <c r="A75" s="17">
        <v>66</v>
      </c>
      <c r="B75" s="13">
        <v>3.1536814019105055</v>
      </c>
      <c r="C75" s="20">
        <v>0.06</v>
      </c>
      <c r="D75" s="14">
        <v>0.60731939550287373</v>
      </c>
      <c r="E75" s="32">
        <f t="shared" ref="E75:E109" si="10">0.12 + 0.24*EXP(-50*C75)</f>
        <v>0.13194889640828733</v>
      </c>
      <c r="F75" s="13">
        <f t="shared" si="8"/>
        <v>0.32134370159232978</v>
      </c>
      <c r="G75" s="23">
        <f t="shared" si="9"/>
        <v>0.1149175129570166</v>
      </c>
      <c r="H75" s="15">
        <f t="shared" ref="H75:H109" si="11">+B75*F75*D75</f>
        <v>0.6154669831898707</v>
      </c>
      <c r="I75" s="23">
        <f t="shared" ref="I75:I109" si="12">+H75-G75</f>
        <v>0.50054947023285412</v>
      </c>
    </row>
    <row r="76" spans="1:9" x14ac:dyDescent="0.3">
      <c r="A76" s="17">
        <v>67</v>
      </c>
      <c r="B76" s="13">
        <v>9.264013733791856</v>
      </c>
      <c r="C76" s="20">
        <v>0.33509456564804302</v>
      </c>
      <c r="D76" s="14">
        <v>0.54733973209912379</v>
      </c>
      <c r="E76" s="32">
        <f t="shared" si="10"/>
        <v>0.12000001269770411</v>
      </c>
      <c r="F76" s="13">
        <f t="shared" si="8"/>
        <v>0.75400443317038612</v>
      </c>
      <c r="G76" s="23">
        <f t="shared" si="9"/>
        <v>1.6991180374541122</v>
      </c>
      <c r="H76" s="15">
        <f t="shared" si="11"/>
        <v>3.8232268262618678</v>
      </c>
      <c r="I76" s="23">
        <f t="shared" si="12"/>
        <v>2.1241087888077557</v>
      </c>
    </row>
    <row r="77" spans="1:9" x14ac:dyDescent="0.3">
      <c r="A77" s="17">
        <v>68</v>
      </c>
      <c r="B77" s="13">
        <v>10.158135652355226</v>
      </c>
      <c r="C77" s="20">
        <v>0.02</v>
      </c>
      <c r="D77" s="14">
        <v>0.31161773195781539</v>
      </c>
      <c r="E77" s="32">
        <f t="shared" si="10"/>
        <v>0.20829106588114615</v>
      </c>
      <c r="F77" s="13">
        <f t="shared" si="8"/>
        <v>0.23480913244032989</v>
      </c>
      <c r="G77" s="23">
        <f t="shared" si="9"/>
        <v>6.3309103858135179E-2</v>
      </c>
      <c r="H77" s="15">
        <f t="shared" si="11"/>
        <v>0.74327778762517316</v>
      </c>
      <c r="I77" s="23">
        <f t="shared" si="12"/>
        <v>0.67996868376703801</v>
      </c>
    </row>
    <row r="78" spans="1:9" x14ac:dyDescent="0.3">
      <c r="A78" s="17">
        <v>69</v>
      </c>
      <c r="B78" s="13">
        <v>1.3299276916067184</v>
      </c>
      <c r="C78" s="20">
        <v>0.65795656893670895</v>
      </c>
      <c r="D78" s="14">
        <v>0.65960207770955959</v>
      </c>
      <c r="E78" s="32">
        <f t="shared" si="10"/>
        <v>0.12000000000000123</v>
      </c>
      <c r="F78" s="13">
        <f t="shared" si="8"/>
        <v>0.94235941475915608</v>
      </c>
      <c r="G78" s="23">
        <f t="shared" si="9"/>
        <v>0.57717468039981146</v>
      </c>
      <c r="H78" s="15">
        <f t="shared" si="11"/>
        <v>0.82665941752713068</v>
      </c>
      <c r="I78" s="23">
        <f t="shared" si="12"/>
        <v>0.24948473712731922</v>
      </c>
    </row>
    <row r="79" spans="1:9" x14ac:dyDescent="0.3">
      <c r="A79" s="17">
        <v>70</v>
      </c>
      <c r="B79" s="13">
        <v>1.6612967459346408</v>
      </c>
      <c r="C79" s="20">
        <v>0.01</v>
      </c>
      <c r="D79" s="14">
        <v>0.44582121139090425</v>
      </c>
      <c r="E79" s="32">
        <f t="shared" si="10"/>
        <v>0.26556735833103201</v>
      </c>
      <c r="F79" s="13">
        <f t="shared" si="8"/>
        <v>0.19591254688356038</v>
      </c>
      <c r="G79" s="23">
        <f t="shared" si="9"/>
        <v>7.4064132775234883E-3</v>
      </c>
      <c r="H79" s="15">
        <f t="shared" si="11"/>
        <v>0.14510092884718445</v>
      </c>
      <c r="I79" s="23">
        <f t="shared" si="12"/>
        <v>0.13769451556966097</v>
      </c>
    </row>
    <row r="80" spans="1:9" x14ac:dyDescent="0.3">
      <c r="A80" s="17">
        <v>71</v>
      </c>
      <c r="B80" s="13">
        <v>2.224656752148042</v>
      </c>
      <c r="C80" s="20">
        <v>0.614657424564372</v>
      </c>
      <c r="D80" s="14">
        <v>0.46300614450734534</v>
      </c>
      <c r="E80" s="32">
        <f t="shared" si="10"/>
        <v>0.12000000000001079</v>
      </c>
      <c r="F80" s="13">
        <f t="shared" si="8"/>
        <v>0.92672992043230074</v>
      </c>
      <c r="G80" s="23">
        <f t="shared" si="9"/>
        <v>0.63311543069471243</v>
      </c>
      <c r="H80" s="15">
        <f t="shared" si="11"/>
        <v>0.95455938424237785</v>
      </c>
      <c r="I80" s="23">
        <f t="shared" si="12"/>
        <v>0.32144395354766542</v>
      </c>
    </row>
    <row r="81" spans="1:9" x14ac:dyDescent="0.3">
      <c r="A81" s="17">
        <v>72</v>
      </c>
      <c r="B81" s="13">
        <v>4.742387246625027</v>
      </c>
      <c r="C81" s="20">
        <v>0.04</v>
      </c>
      <c r="D81" s="14">
        <v>0.36469003508983466</v>
      </c>
      <c r="E81" s="32">
        <f t="shared" si="10"/>
        <v>0.15248046797678705</v>
      </c>
      <c r="F81" s="13">
        <f t="shared" si="8"/>
        <v>0.27729311168139481</v>
      </c>
      <c r="G81" s="23">
        <f t="shared" si="9"/>
        <v>6.9180054855250625E-2</v>
      </c>
      <c r="H81" s="15">
        <f t="shared" si="11"/>
        <v>0.47957881692755072</v>
      </c>
      <c r="I81" s="23">
        <f t="shared" si="12"/>
        <v>0.41039876207230008</v>
      </c>
    </row>
    <row r="82" spans="1:9" x14ac:dyDescent="0.3">
      <c r="A82" s="17">
        <v>73</v>
      </c>
      <c r="B82" s="13">
        <v>5.307747345723457</v>
      </c>
      <c r="C82" s="20">
        <v>0.58453416422919602</v>
      </c>
      <c r="D82" s="14">
        <v>0.44641921040529908</v>
      </c>
      <c r="E82" s="32">
        <f t="shared" si="10"/>
        <v>0.12000000000004866</v>
      </c>
      <c r="F82" s="13">
        <f t="shared" si="8"/>
        <v>0.91446017850191008</v>
      </c>
      <c r="G82" s="23">
        <f t="shared" si="9"/>
        <v>1.3850422330597754</v>
      </c>
      <c r="H82" s="15">
        <f t="shared" si="11"/>
        <v>2.1667954504365041</v>
      </c>
      <c r="I82" s="23">
        <f t="shared" si="12"/>
        <v>0.78175321737672876</v>
      </c>
    </row>
    <row r="83" spans="1:9" x14ac:dyDescent="0.3">
      <c r="A83" s="17">
        <v>74</v>
      </c>
      <c r="B83" s="13">
        <v>6.3199029324760971</v>
      </c>
      <c r="C83" s="20">
        <v>0.01</v>
      </c>
      <c r="D83" s="14">
        <v>0.4899126991343784</v>
      </c>
      <c r="E83" s="32">
        <f t="shared" si="10"/>
        <v>0.26556735833103201</v>
      </c>
      <c r="F83" s="13">
        <f t="shared" si="8"/>
        <v>0.19591254688356038</v>
      </c>
      <c r="G83" s="23">
        <f t="shared" si="9"/>
        <v>3.0962007039166382E-2</v>
      </c>
      <c r="H83" s="15">
        <f t="shared" si="11"/>
        <v>0.60658456556698104</v>
      </c>
      <c r="I83" s="23">
        <f t="shared" si="12"/>
        <v>0.57562255852781463</v>
      </c>
    </row>
    <row r="84" spans="1:9" x14ac:dyDescent="0.3">
      <c r="A84" s="17">
        <v>75</v>
      </c>
      <c r="B84" s="13">
        <v>1.0413124437954882</v>
      </c>
      <c r="C84" s="20">
        <v>0.42801343194511099</v>
      </c>
      <c r="D84" s="14">
        <v>0.6128320693544691</v>
      </c>
      <c r="E84" s="32">
        <f t="shared" si="10"/>
        <v>0.12000000012190391</v>
      </c>
      <c r="F84" s="13">
        <f t="shared" si="8"/>
        <v>0.82836768821880691</v>
      </c>
      <c r="G84" s="23">
        <f t="shared" si="9"/>
        <v>0.27313662597522298</v>
      </c>
      <c r="H84" s="15">
        <f t="shared" si="11"/>
        <v>0.52862255840605477</v>
      </c>
      <c r="I84" s="23">
        <f t="shared" si="12"/>
        <v>0.25548593243083179</v>
      </c>
    </row>
    <row r="85" spans="1:9" x14ac:dyDescent="0.3">
      <c r="A85" s="17">
        <v>76</v>
      </c>
      <c r="B85" s="13">
        <v>10.390369034934245</v>
      </c>
      <c r="C85" s="20">
        <v>0.04</v>
      </c>
      <c r="D85" s="14">
        <v>0.55158045878683415</v>
      </c>
      <c r="E85" s="32">
        <f t="shared" si="10"/>
        <v>0.15248046797678705</v>
      </c>
      <c r="F85" s="13">
        <f t="shared" si="8"/>
        <v>0.27729311168139481</v>
      </c>
      <c r="G85" s="23">
        <f t="shared" si="9"/>
        <v>0.22924498077014185</v>
      </c>
      <c r="H85" s="15">
        <f t="shared" si="11"/>
        <v>1.5892013513773537</v>
      </c>
      <c r="I85" s="23">
        <f t="shared" si="12"/>
        <v>1.359956370607212</v>
      </c>
    </row>
    <row r="86" spans="1:9" x14ac:dyDescent="0.3">
      <c r="A86" s="17">
        <v>77</v>
      </c>
      <c r="B86" s="13">
        <v>7.6282329803220286</v>
      </c>
      <c r="C86" s="20">
        <v>0.14659358566435801</v>
      </c>
      <c r="D86" s="14">
        <v>0.22903941923322435</v>
      </c>
      <c r="E86" s="32">
        <f t="shared" si="10"/>
        <v>0.12015738812983115</v>
      </c>
      <c r="F86" s="13">
        <f t="shared" si="8"/>
        <v>0.50852011010097264</v>
      </c>
      <c r="G86" s="23">
        <f t="shared" si="9"/>
        <v>0.25612333625342415</v>
      </c>
      <c r="H86" s="15">
        <f t="shared" si="11"/>
        <v>0.88846907291856003</v>
      </c>
      <c r="I86" s="23">
        <f t="shared" si="12"/>
        <v>0.63234573666513594</v>
      </c>
    </row>
    <row r="87" spans="1:9" x14ac:dyDescent="0.3">
      <c r="A87" s="17">
        <v>78</v>
      </c>
      <c r="B87" s="13">
        <v>10.932476153502993</v>
      </c>
      <c r="C87" s="20">
        <v>0.01</v>
      </c>
      <c r="D87" s="14">
        <v>0.2246684297905045</v>
      </c>
      <c r="E87" s="32">
        <f t="shared" si="10"/>
        <v>0.26556735833103201</v>
      </c>
      <c r="F87" s="13">
        <f t="shared" si="8"/>
        <v>0.19591254688356038</v>
      </c>
      <c r="G87" s="23">
        <f t="shared" si="9"/>
        <v>2.456182251129652E-2</v>
      </c>
      <c r="H87" s="15">
        <f t="shared" si="11"/>
        <v>0.48119692042900675</v>
      </c>
      <c r="I87" s="23">
        <f t="shared" si="12"/>
        <v>0.45663509791771023</v>
      </c>
    </row>
    <row r="88" spans="1:9" x14ac:dyDescent="0.3">
      <c r="A88" s="17">
        <v>79</v>
      </c>
      <c r="B88" s="13">
        <v>6.4904765563408242</v>
      </c>
      <c r="C88" s="20">
        <v>0.25305818989057599</v>
      </c>
      <c r="D88" s="14">
        <v>0.69029541274852779</v>
      </c>
      <c r="E88" s="32">
        <f t="shared" si="10"/>
        <v>0.12000076757791081</v>
      </c>
      <c r="F88" s="13">
        <f t="shared" si="8"/>
        <v>0.66726198555034089</v>
      </c>
      <c r="G88" s="23">
        <f t="shared" si="9"/>
        <v>1.1337882977834011</v>
      </c>
      <c r="H88" s="15">
        <f t="shared" si="11"/>
        <v>2.9895646969569474</v>
      </c>
      <c r="I88" s="23">
        <f t="shared" si="12"/>
        <v>1.8557763991735463</v>
      </c>
    </row>
    <row r="89" spans="1:9" x14ac:dyDescent="0.3">
      <c r="A89" s="17">
        <v>80</v>
      </c>
      <c r="B89" s="13">
        <v>4.2203536777115485</v>
      </c>
      <c r="C89" s="20">
        <v>0.04</v>
      </c>
      <c r="D89" s="14">
        <v>0.33517539806233332</v>
      </c>
      <c r="E89" s="32">
        <f t="shared" si="10"/>
        <v>0.15248046797678705</v>
      </c>
      <c r="F89" s="13">
        <f t="shared" si="8"/>
        <v>0.27729311168139481</v>
      </c>
      <c r="G89" s="23">
        <f t="shared" si="9"/>
        <v>5.6582348955632022E-2</v>
      </c>
      <c r="H89" s="15">
        <f t="shared" si="11"/>
        <v>0.39224739020374311</v>
      </c>
      <c r="I89" s="23">
        <f t="shared" si="12"/>
        <v>0.33566504124811108</v>
      </c>
    </row>
    <row r="90" spans="1:9" x14ac:dyDescent="0.3">
      <c r="A90" s="17">
        <v>81</v>
      </c>
      <c r="B90" s="13">
        <v>7.5032704384548854</v>
      </c>
      <c r="C90" s="20">
        <v>0.81197373382340798</v>
      </c>
      <c r="D90" s="14">
        <v>0.65168796537799534</v>
      </c>
      <c r="E90" s="32">
        <f t="shared" si="10"/>
        <v>0.12</v>
      </c>
      <c r="F90" s="13">
        <f t="shared" si="8"/>
        <v>0.9814545834945938</v>
      </c>
      <c r="G90" s="23">
        <f t="shared" si="9"/>
        <v>3.9703818930075241</v>
      </c>
      <c r="H90" s="15">
        <f t="shared" si="11"/>
        <v>4.799107834150286</v>
      </c>
      <c r="I90" s="23">
        <f t="shared" si="12"/>
        <v>0.82872594114276188</v>
      </c>
    </row>
    <row r="91" spans="1:9" x14ac:dyDescent="0.3">
      <c r="A91" s="17">
        <v>82</v>
      </c>
      <c r="B91" s="13">
        <v>1.6071629117449462</v>
      </c>
      <c r="C91" s="20">
        <v>0.02</v>
      </c>
      <c r="D91" s="14">
        <v>0.65605080246849312</v>
      </c>
      <c r="E91" s="32">
        <f t="shared" si="10"/>
        <v>0.20829106588114615</v>
      </c>
      <c r="F91" s="13">
        <f t="shared" si="8"/>
        <v>0.23480913244032989</v>
      </c>
      <c r="G91" s="23">
        <f t="shared" si="9"/>
        <v>2.108761035895744E-2</v>
      </c>
      <c r="H91" s="15">
        <f t="shared" si="11"/>
        <v>0.24757817468132548</v>
      </c>
      <c r="I91" s="23">
        <f t="shared" si="12"/>
        <v>0.22649056432236803</v>
      </c>
    </row>
    <row r="92" spans="1:9" x14ac:dyDescent="0.3">
      <c r="A92" s="17">
        <v>83</v>
      </c>
      <c r="B92" s="13">
        <v>6.7506477987089628</v>
      </c>
      <c r="C92" s="20">
        <v>0.96773736290136503</v>
      </c>
      <c r="D92" s="14">
        <v>0.34616762559222491</v>
      </c>
      <c r="E92" s="32">
        <f t="shared" si="10"/>
        <v>0.12</v>
      </c>
      <c r="F92" s="13">
        <f t="shared" si="8"/>
        <v>0.99906989101044053</v>
      </c>
      <c r="G92" s="23">
        <f t="shared" si="9"/>
        <v>2.261462591652283</v>
      </c>
      <c r="H92" s="15">
        <f t="shared" si="11"/>
        <v>2.3346821891762759</v>
      </c>
      <c r="I92" s="23">
        <f t="shared" si="12"/>
        <v>7.3219597523992874E-2</v>
      </c>
    </row>
    <row r="93" spans="1:9" x14ac:dyDescent="0.3">
      <c r="A93" s="17">
        <v>84</v>
      </c>
      <c r="B93" s="13">
        <v>2.4725346173984621</v>
      </c>
      <c r="C93" s="20">
        <v>0.02</v>
      </c>
      <c r="D93" s="14">
        <v>0.66212402721431252</v>
      </c>
      <c r="E93" s="32">
        <f t="shared" si="10"/>
        <v>0.20829106588114615</v>
      </c>
      <c r="F93" s="13">
        <f t="shared" si="8"/>
        <v>0.23480913244032989</v>
      </c>
      <c r="G93" s="23">
        <f t="shared" si="9"/>
        <v>3.2742491565973385E-2</v>
      </c>
      <c r="H93" s="15">
        <f t="shared" si="11"/>
        <v>0.38441180192705143</v>
      </c>
      <c r="I93" s="23">
        <f t="shared" si="12"/>
        <v>0.35166931036107807</v>
      </c>
    </row>
    <row r="94" spans="1:9" x14ac:dyDescent="0.3">
      <c r="A94" s="17">
        <v>85</v>
      </c>
      <c r="B94" s="13">
        <v>4.3598091117805975</v>
      </c>
      <c r="C94" s="20">
        <v>0.19764414255912799</v>
      </c>
      <c r="D94" s="14">
        <v>0.34106067816254171</v>
      </c>
      <c r="E94" s="32">
        <f t="shared" si="10"/>
        <v>0.1200122581016107</v>
      </c>
      <c r="F94" s="13">
        <f t="shared" si="8"/>
        <v>0.59290736021027024</v>
      </c>
      <c r="G94" s="23">
        <f t="shared" si="9"/>
        <v>0.29388882597459343</v>
      </c>
      <c r="H94" s="15">
        <f t="shared" si="11"/>
        <v>0.88162920361660968</v>
      </c>
      <c r="I94" s="23">
        <f t="shared" si="12"/>
        <v>0.58774037764201625</v>
      </c>
    </row>
    <row r="95" spans="1:9" x14ac:dyDescent="0.3">
      <c r="A95" s="17">
        <v>86</v>
      </c>
      <c r="B95" s="13">
        <v>3.5286804008345101</v>
      </c>
      <c r="C95" s="20">
        <v>0.06</v>
      </c>
      <c r="D95" s="14">
        <v>0.42962505681095808</v>
      </c>
      <c r="E95" s="32">
        <f t="shared" si="10"/>
        <v>0.13194889640828733</v>
      </c>
      <c r="F95" s="13">
        <f t="shared" si="8"/>
        <v>0.32134370159232978</v>
      </c>
      <c r="G95" s="23">
        <f t="shared" si="9"/>
        <v>9.0960571060574438E-2</v>
      </c>
      <c r="H95" s="15">
        <f t="shared" si="11"/>
        <v>0.48716011005928572</v>
      </c>
      <c r="I95" s="23">
        <f t="shared" si="12"/>
        <v>0.3961995389987113</v>
      </c>
    </row>
    <row r="96" spans="1:9" x14ac:dyDescent="0.3">
      <c r="A96" s="17">
        <v>87</v>
      </c>
      <c r="B96" s="13">
        <v>2.6810414577976776</v>
      </c>
      <c r="C96" s="20">
        <v>0.67341359665938605</v>
      </c>
      <c r="D96" s="14">
        <v>0.42656939327163235</v>
      </c>
      <c r="E96" s="32">
        <f t="shared" si="10"/>
        <v>0.12000000000000056</v>
      </c>
      <c r="F96" s="13">
        <f t="shared" si="8"/>
        <v>0.94740126506562583</v>
      </c>
      <c r="G96" s="23">
        <f t="shared" si="9"/>
        <v>0.77014961335029697</v>
      </c>
      <c r="H96" s="15">
        <f t="shared" si="11"/>
        <v>1.083495672789226</v>
      </c>
      <c r="I96" s="23">
        <f t="shared" si="12"/>
        <v>0.31334605943892901</v>
      </c>
    </row>
    <row r="97" spans="1:9" x14ac:dyDescent="0.3">
      <c r="A97" s="17">
        <v>88</v>
      </c>
      <c r="B97" s="13">
        <v>6.1801900119593309</v>
      </c>
      <c r="C97" s="20">
        <v>0.06</v>
      </c>
      <c r="D97" s="14">
        <v>0.24529615989531661</v>
      </c>
      <c r="E97" s="32">
        <f t="shared" si="10"/>
        <v>0.13194889640828733</v>
      </c>
      <c r="F97" s="13">
        <f t="shared" si="8"/>
        <v>0.32134370159232978</v>
      </c>
      <c r="G97" s="23">
        <f t="shared" si="9"/>
        <v>9.0958612641420883E-2</v>
      </c>
      <c r="H97" s="15">
        <f t="shared" si="11"/>
        <v>0.48714962129828449</v>
      </c>
      <c r="I97" s="23">
        <f t="shared" si="12"/>
        <v>0.39619100865686363</v>
      </c>
    </row>
    <row r="98" spans="1:9" x14ac:dyDescent="0.3">
      <c r="A98" s="17">
        <v>89</v>
      </c>
      <c r="B98" s="13">
        <v>4.0840100182008765</v>
      </c>
      <c r="C98" s="20">
        <v>0.14261628116932601</v>
      </c>
      <c r="D98" s="14">
        <v>0.47841175237598021</v>
      </c>
      <c r="E98" s="32">
        <f t="shared" si="10"/>
        <v>0.12019201627688127</v>
      </c>
      <c r="F98" s="13">
        <f t="shared" si="8"/>
        <v>0.5011506702028472</v>
      </c>
      <c r="G98" s="23">
        <f t="shared" si="9"/>
        <v>0.27864916512042542</v>
      </c>
      <c r="H98" s="15">
        <f t="shared" si="11"/>
        <v>0.97916741838027965</v>
      </c>
      <c r="I98" s="23">
        <f t="shared" si="12"/>
        <v>0.70051825325985417</v>
      </c>
    </row>
    <row r="99" spans="1:9" x14ac:dyDescent="0.3">
      <c r="A99" s="17">
        <v>90</v>
      </c>
      <c r="B99" s="13">
        <v>8.836820414761176</v>
      </c>
      <c r="C99" s="20">
        <v>0.01</v>
      </c>
      <c r="D99" s="14">
        <v>0.5404282094171039</v>
      </c>
      <c r="E99" s="32">
        <f t="shared" si="10"/>
        <v>0.26556735833103201</v>
      </c>
      <c r="F99" s="13">
        <f t="shared" si="8"/>
        <v>0.19591254688356038</v>
      </c>
      <c r="G99" s="23">
        <f t="shared" si="9"/>
        <v>4.775667033689892E-2</v>
      </c>
      <c r="H99" s="15">
        <f t="shared" si="11"/>
        <v>0.93561309163804474</v>
      </c>
      <c r="I99" s="23">
        <f t="shared" si="12"/>
        <v>0.88785642130114584</v>
      </c>
    </row>
    <row r="100" spans="1:9" x14ac:dyDescent="0.3">
      <c r="A100" s="17">
        <v>91</v>
      </c>
      <c r="B100" s="13">
        <v>5.1747923692476121</v>
      </c>
      <c r="C100" s="20">
        <v>0.95938578295568699</v>
      </c>
      <c r="D100" s="14">
        <v>0.36883666172921803</v>
      </c>
      <c r="E100" s="32">
        <f t="shared" si="10"/>
        <v>0.12</v>
      </c>
      <c r="F100" s="13">
        <f t="shared" si="8"/>
        <v>0.99864935001816602</v>
      </c>
      <c r="G100" s="23">
        <f t="shared" si="9"/>
        <v>1.8311346896186396</v>
      </c>
      <c r="H100" s="15">
        <f t="shared" si="11"/>
        <v>1.9060752202827198</v>
      </c>
      <c r="I100" s="23">
        <f t="shared" si="12"/>
        <v>7.494053066408024E-2</v>
      </c>
    </row>
    <row r="101" spans="1:9" x14ac:dyDescent="0.3">
      <c r="A101" s="17">
        <v>92</v>
      </c>
      <c r="B101" s="13">
        <v>7.1639513188156458</v>
      </c>
      <c r="C101" s="20">
        <v>0.05</v>
      </c>
      <c r="D101" s="14">
        <v>0.69111517152179447</v>
      </c>
      <c r="E101" s="32">
        <f t="shared" si="10"/>
        <v>0.13970039966973571</v>
      </c>
      <c r="F101" s="13">
        <f t="shared" si="8"/>
        <v>0.29871221804540987</v>
      </c>
      <c r="G101" s="23">
        <f t="shared" si="9"/>
        <v>0.24755577222385308</v>
      </c>
      <c r="H101" s="15">
        <f t="shared" si="11"/>
        <v>1.4789586762186284</v>
      </c>
      <c r="I101" s="23">
        <f t="shared" si="12"/>
        <v>1.2314029039947754</v>
      </c>
    </row>
    <row r="102" spans="1:9" x14ac:dyDescent="0.3">
      <c r="A102" s="17">
        <v>93</v>
      </c>
      <c r="B102" s="13">
        <v>3.6691814282358681</v>
      </c>
      <c r="C102" s="20">
        <v>0.65230930464761405</v>
      </c>
      <c r="D102" s="14">
        <v>0.60933843535586474</v>
      </c>
      <c r="E102" s="32">
        <f t="shared" si="10"/>
        <v>0.12000000000000163</v>
      </c>
      <c r="F102" s="13">
        <f t="shared" si="8"/>
        <v>0.94044866676135974</v>
      </c>
      <c r="G102" s="23">
        <f t="shared" si="9"/>
        <v>1.4584157074413453</v>
      </c>
      <c r="H102" s="15">
        <f t="shared" si="11"/>
        <v>2.1026299914393767</v>
      </c>
      <c r="I102" s="23">
        <f t="shared" si="12"/>
        <v>0.64421428399803138</v>
      </c>
    </row>
    <row r="103" spans="1:9" x14ac:dyDescent="0.3">
      <c r="A103" s="17">
        <v>94</v>
      </c>
      <c r="B103" s="13">
        <v>4.1683012957365015</v>
      </c>
      <c r="C103" s="20">
        <v>0.06</v>
      </c>
      <c r="D103" s="14">
        <v>0.47619805291810435</v>
      </c>
      <c r="E103" s="32">
        <f t="shared" si="10"/>
        <v>0.13194889640828733</v>
      </c>
      <c r="F103" s="13">
        <f t="shared" si="8"/>
        <v>0.32134370159232978</v>
      </c>
      <c r="G103" s="23">
        <f t="shared" si="9"/>
        <v>0.11909621766034401</v>
      </c>
      <c r="H103" s="15">
        <f t="shared" si="11"/>
        <v>0.63784699047701243</v>
      </c>
      <c r="I103" s="23">
        <f t="shared" si="12"/>
        <v>0.51875077281666848</v>
      </c>
    </row>
    <row r="104" spans="1:9" x14ac:dyDescent="0.3">
      <c r="A104" s="17">
        <v>95</v>
      </c>
      <c r="B104" s="13">
        <v>2.1463075591611704</v>
      </c>
      <c r="C104" s="20">
        <v>0.65146390300295998</v>
      </c>
      <c r="D104" s="14">
        <v>0.44802418381057518</v>
      </c>
      <c r="E104" s="32">
        <f t="shared" si="10"/>
        <v>0.1200000000000017</v>
      </c>
      <c r="F104" s="13">
        <f t="shared" si="8"/>
        <v>0.94015941400212999</v>
      </c>
      <c r="G104" s="23">
        <f t="shared" si="9"/>
        <v>0.62644618580931655</v>
      </c>
      <c r="H104" s="15">
        <f t="shared" si="11"/>
        <v>0.90405512299225654</v>
      </c>
      <c r="I104" s="23">
        <f t="shared" si="12"/>
        <v>0.27760893718294</v>
      </c>
    </row>
    <row r="105" spans="1:9" x14ac:dyDescent="0.3">
      <c r="A105" s="17">
        <v>96</v>
      </c>
      <c r="B105" s="13">
        <v>9.5160575448490228</v>
      </c>
      <c r="C105" s="20">
        <v>0.05</v>
      </c>
      <c r="D105" s="14">
        <v>0.27749968198730535</v>
      </c>
      <c r="E105" s="32">
        <f t="shared" si="10"/>
        <v>0.13970039966973571</v>
      </c>
      <c r="F105" s="13">
        <f t="shared" si="8"/>
        <v>0.29871221804540987</v>
      </c>
      <c r="G105" s="23">
        <f t="shared" si="9"/>
        <v>0.1320351471234251</v>
      </c>
      <c r="H105" s="15">
        <f t="shared" si="11"/>
        <v>0.78881023314380638</v>
      </c>
      <c r="I105" s="23">
        <f t="shared" si="12"/>
        <v>0.65677508602038126</v>
      </c>
    </row>
    <row r="106" spans="1:9" x14ac:dyDescent="0.3">
      <c r="A106" s="17">
        <v>97</v>
      </c>
      <c r="B106" s="13">
        <v>10.335128386225792</v>
      </c>
      <c r="C106" s="20">
        <v>8.8985099901797496E-2</v>
      </c>
      <c r="D106" s="14">
        <v>0.42073014950101695</v>
      </c>
      <c r="E106" s="32">
        <f t="shared" si="10"/>
        <v>0.12280494499246263</v>
      </c>
      <c r="F106" s="13">
        <f t="shared" ref="F106:F109" si="13">_xlfn.NORM.S.DIST((_xlfn.NORM.S.INV(C106)+(SQRT(E106)*_xlfn.NORM.S.INV($F$1)))/SQRT(1-E106),TRUE)</f>
        <v>0.38897709496239691</v>
      </c>
      <c r="G106" s="23">
        <f t="shared" si="9"/>
        <v>0.38693391978469072</v>
      </c>
      <c r="H106" s="15">
        <f t="shared" si="11"/>
        <v>1.6913891452205008</v>
      </c>
      <c r="I106" s="23">
        <f t="shared" si="12"/>
        <v>1.3044552254358099</v>
      </c>
    </row>
    <row r="107" spans="1:9" x14ac:dyDescent="0.3">
      <c r="A107" s="17">
        <v>98</v>
      </c>
      <c r="B107" s="13">
        <v>3.2827689510927476</v>
      </c>
      <c r="C107" s="20">
        <v>0.05</v>
      </c>
      <c r="D107" s="14">
        <v>0.67895755809370006</v>
      </c>
      <c r="E107" s="32">
        <f t="shared" si="10"/>
        <v>0.13970039966973571</v>
      </c>
      <c r="F107" s="13">
        <f t="shared" si="13"/>
        <v>0.29871221804540987</v>
      </c>
      <c r="G107" s="23">
        <f t="shared" si="9"/>
        <v>0.11144303954098746</v>
      </c>
      <c r="H107" s="15">
        <f t="shared" si="11"/>
        <v>0.66578795054021356</v>
      </c>
      <c r="I107" s="23">
        <f t="shared" si="12"/>
        <v>0.55434491099922611</v>
      </c>
    </row>
    <row r="108" spans="1:9" x14ac:dyDescent="0.3">
      <c r="A108" s="17">
        <v>99</v>
      </c>
      <c r="B108" s="13">
        <v>10.83290271438835</v>
      </c>
      <c r="C108" s="20">
        <v>0.80429910744144095</v>
      </c>
      <c r="D108" s="14">
        <v>0.62216876669906396</v>
      </c>
      <c r="E108" s="32">
        <f t="shared" si="10"/>
        <v>0.12</v>
      </c>
      <c r="F108" s="13">
        <f t="shared" si="13"/>
        <v>0.98005045577113759</v>
      </c>
      <c r="G108" s="23">
        <f t="shared" si="9"/>
        <v>5.4208905045185274</v>
      </c>
      <c r="H108" s="15">
        <f t="shared" si="11"/>
        <v>6.6054359136854108</v>
      </c>
      <c r="I108" s="23">
        <f t="shared" si="12"/>
        <v>1.1845454091668834</v>
      </c>
    </row>
    <row r="109" spans="1:9" x14ac:dyDescent="0.3">
      <c r="A109" s="18">
        <v>100</v>
      </c>
      <c r="B109" s="25">
        <v>4.1876166894992117</v>
      </c>
      <c r="C109" s="21">
        <v>0.05</v>
      </c>
      <c r="D109" s="26">
        <v>0.62765712114478645</v>
      </c>
      <c r="E109" s="33">
        <f t="shared" si="10"/>
        <v>0.13970039966973571</v>
      </c>
      <c r="F109" s="25">
        <f t="shared" si="13"/>
        <v>0.29871221804540987</v>
      </c>
      <c r="G109" s="24">
        <f t="shared" si="9"/>
        <v>0.13141937178944682</v>
      </c>
      <c r="H109" s="27">
        <f t="shared" si="11"/>
        <v>0.78513144082720043</v>
      </c>
      <c r="I109" s="24">
        <f t="shared" si="12"/>
        <v>0.65371206903775358</v>
      </c>
    </row>
  </sheetData>
  <mergeCells count="7">
    <mergeCell ref="E1:E2"/>
    <mergeCell ref="F1:F2"/>
    <mergeCell ref="A2:B2"/>
    <mergeCell ref="A3:B3"/>
    <mergeCell ref="A4:C4"/>
    <mergeCell ref="A5:B5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Portfolio Detail</vt:lpstr>
      <vt:lpstr>2. 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Lakshmi V</dc:creator>
  <cp:lastModifiedBy>Aiswarya Lakshmi V</cp:lastModifiedBy>
  <dcterms:created xsi:type="dcterms:W3CDTF">2026-10-21T12:59:05Z</dcterms:created>
  <dcterms:modified xsi:type="dcterms:W3CDTF">2026-10-22T05:47:53Z</dcterms:modified>
</cp:coreProperties>
</file>